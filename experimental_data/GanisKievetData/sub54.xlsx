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&amp;amp;amp;M"/>
  </sheets>
  <calcPr fullCalcOnLoad="1"/>
</workbook>
</file>

<file path=xl/sharedStrings.xml><?xml version="1.0" encoding="utf-8"?>
<sst xmlns="http://schemas.openxmlformats.org/spreadsheetml/2006/main" count="319" uniqueCount="117">
  <si>
    <t xml:space="preserve">Input devices active: MOUSE KEY </t>
  </si>
  <si>
    <t>Timing Device: Macintosh</t>
  </si>
  <si>
    <t>RAW</t>
  </si>
  <si>
    <t>RAW-Outliers</t>
  </si>
  <si>
    <t>Identical</t>
  </si>
  <si>
    <t>Mirror-Image</t>
  </si>
  <si>
    <t>All</t>
  </si>
  <si>
    <t>Trial</t>
  </si>
  <si>
    <t>Condition</t>
  </si>
  <si>
    <t>Time</t>
  </si>
  <si>
    <t>response</t>
  </si>
  <si>
    <t>correct</t>
  </si>
  <si>
    <t>angle</t>
  </si>
  <si>
    <t>correct/incorrect</t>
  </si>
  <si>
    <t>R2_3_3_2_0Y0.pct</t>
  </si>
  <si>
    <t>[n]</t>
  </si>
  <si>
    <t>R3_4_3_2_90Y150.pct</t>
  </si>
  <si>
    <t>2_4_4_2_0Y150.pct</t>
  </si>
  <si>
    <t>[b]</t>
  </si>
  <si>
    <t>3_3_3_2_0Y100.pct</t>
  </si>
  <si>
    <t>N/A</t>
  </si>
  <si>
    <t>[N/A]</t>
  </si>
  <si>
    <t>3_3_3_3_90Y50.pct</t>
  </si>
  <si>
    <t>R2_4_4_2_0Y50.pct</t>
  </si>
  <si>
    <t>R3_3_3_3_90Y100.pct</t>
  </si>
  <si>
    <t>2_3_3_2_0Y0.pct</t>
  </si>
  <si>
    <t>R3_4_3_3_180Y150.pct</t>
  </si>
  <si>
    <t>2_4_4_2_180Y150.pct</t>
  </si>
  <si>
    <t>R3_3_4_2_0Y50.pct</t>
  </si>
  <si>
    <t>R2_3_4_2_90Y0.pct</t>
  </si>
  <si>
    <t>3_3_3_3_180Y0.pct</t>
  </si>
  <si>
    <t>R3_4_3_3_180Y100.pct</t>
  </si>
  <si>
    <t>2_4_4_3_90Y100.pct</t>
  </si>
  <si>
    <t>3_4_3_2_90Y50.pct</t>
  </si>
  <si>
    <t>R2_4_4_3_90Y100.pct</t>
  </si>
  <si>
    <t>2_3_3_2_0Y150.pct</t>
  </si>
  <si>
    <t>R2_3_4_2_90Y50.pct</t>
  </si>
  <si>
    <t>2_3_4_2_90Y50.pct</t>
  </si>
  <si>
    <t>R2_4_4_2_180Y100.pct</t>
  </si>
  <si>
    <t>R2_4_4_2_0Y0.pct</t>
  </si>
  <si>
    <t>3_4_3_2_90Y0.pct</t>
  </si>
  <si>
    <t>R3_3_3_2_0Y150.pct</t>
  </si>
  <si>
    <t>R3_4_4_3_180Y150.pct</t>
  </si>
  <si>
    <t>R3_4_3_3_180Y50.pct</t>
  </si>
  <si>
    <t>3_4_3_3_180Y50.pct</t>
  </si>
  <si>
    <t>3_3_3_3_90Y100.pct</t>
  </si>
  <si>
    <t>2_4_4_2_180Y0.pct</t>
  </si>
  <si>
    <t>R3_4_3_2_90Y0.pct</t>
  </si>
  <si>
    <t>3_3_4_2_0Y150.pct</t>
  </si>
  <si>
    <t>R3_3_4_2_0Y100.pct</t>
  </si>
  <si>
    <t>3_3_3_3_180Y50.pct</t>
  </si>
  <si>
    <t>3_3_4_2_0Y100.pct</t>
  </si>
  <si>
    <t>3_4_4_3_180Y150.pct</t>
  </si>
  <si>
    <t>R3_3_3_3_180Y0.pct</t>
  </si>
  <si>
    <t>3_4_3_3_180Y100.pct</t>
  </si>
  <si>
    <t>R3_3_3_3_180Y150.pct</t>
  </si>
  <si>
    <t>3_4_3_3_180Y0.pct</t>
  </si>
  <si>
    <t>R3_3_3_3_90Y50.pct</t>
  </si>
  <si>
    <t>2_4_4_3_90Y150.pct</t>
  </si>
  <si>
    <t>R3_4_3_3_180Y0.pct</t>
  </si>
  <si>
    <t>3_3_3_3_180Y100.pct</t>
  </si>
  <si>
    <t>R2_3_4_2_90Y150.pct</t>
  </si>
  <si>
    <t>R2_3_3_2_0Y50.pct</t>
  </si>
  <si>
    <t>R2_3_4_2_90Y100.pct</t>
  </si>
  <si>
    <t>3_4_4_3_180Y0.pct</t>
  </si>
  <si>
    <t>3_4_4_3_180Y50.pct</t>
  </si>
  <si>
    <t>R2_4_4_2_0Y100.pct</t>
  </si>
  <si>
    <t>R2_3_3_2_0Y150.pct</t>
  </si>
  <si>
    <t>3_3_4_2_0Y0.pct</t>
  </si>
  <si>
    <t>R2_4_4_3_90Y0.pct</t>
  </si>
  <si>
    <t>3_4_4_3_180Y100.pct</t>
  </si>
  <si>
    <t>R2_4_4_2_180Y50.pct</t>
  </si>
  <si>
    <t>3_3_3_2_0Y150.pct</t>
  </si>
  <si>
    <t>2_4_4_2_0Y50.pct</t>
  </si>
  <si>
    <t>R2_4_4_2_0Y150.pct</t>
  </si>
  <si>
    <t>R3_4_3_2_90Y100.pct</t>
  </si>
  <si>
    <t>2_3_4_2_90Y150.pct</t>
  </si>
  <si>
    <t>3_4_3_2_90Y100.pct</t>
  </si>
  <si>
    <t>2_4_4_3_90Y0.pct</t>
  </si>
  <si>
    <t>R2_4_4_2_180Y0.pct</t>
  </si>
  <si>
    <t>R2_4_4_3_90Y50.pct</t>
  </si>
  <si>
    <t>2_4_4_3_90Y50.pct</t>
  </si>
  <si>
    <t>R2_4_4_2_180Y150.pct</t>
  </si>
  <si>
    <t>3_3_3_3_90Y0.pct</t>
  </si>
  <si>
    <t>3_3_3_3_180Y150.pct</t>
  </si>
  <si>
    <t>R3_3_3_3_90Y0.pct</t>
  </si>
  <si>
    <t>R3_3_3_2_0Y50.pct</t>
  </si>
  <si>
    <t>2_4_4_2_180Y50.pct</t>
  </si>
  <si>
    <t>2_4_4_2_0Y100.pct</t>
  </si>
  <si>
    <t>R3_3_3_2_0Y100.pct</t>
  </si>
  <si>
    <t>2_3_4_2_90Y100.pct</t>
  </si>
  <si>
    <t>R3_3_3_3_180Y100.pct</t>
  </si>
  <si>
    <t>3_3_3_3_90Y150.pct</t>
  </si>
  <si>
    <t>R3_3_4_2_0Y0.pct</t>
  </si>
  <si>
    <t>3_3_3_2_0Y0.pct</t>
  </si>
  <si>
    <t>3_3_3_2_0Y50.pct</t>
  </si>
  <si>
    <t>R3_3_3_3_180Y50.pct</t>
  </si>
  <si>
    <t>R3_3_3_3_90Y150.pct</t>
  </si>
  <si>
    <t>R3_4_4_3_180Y50.pct</t>
  </si>
  <si>
    <t>2_3_4_2_90Y0.pct</t>
  </si>
  <si>
    <t>R3_3_4_2_0Y150.pct</t>
  </si>
  <si>
    <t>3_3_4_2_0Y50.pct</t>
  </si>
  <si>
    <t>2_4_4_2_180Y100.pct</t>
  </si>
  <si>
    <t>R3_4_4_3_180Y0.pct</t>
  </si>
  <si>
    <t>3_4_3_3_180Y150.pct</t>
  </si>
  <si>
    <t>R3_4_4_3_180Y100.pct</t>
  </si>
  <si>
    <t>R2_3_3_2_0Y100.pct</t>
  </si>
  <si>
    <t>2_3_3_2_0Y50.pct</t>
  </si>
  <si>
    <t>2_4_4_2_0Y0.pct</t>
  </si>
  <si>
    <t>3_4_3_2_90Y150.pct</t>
  </si>
  <si>
    <t>R2_4_4_3_90Y150.pct</t>
  </si>
  <si>
    <t>R3_4_3_2_90Y50.pct</t>
  </si>
  <si>
    <t>2_3_3_2_0Y100.pct</t>
  </si>
  <si>
    <t>R3_3_3_2_0Y0.pct</t>
  </si>
  <si>
    <t>average</t>
  </si>
  <si>
    <t>SD</t>
  </si>
  <si>
    <t>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</si>
</sst>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07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2" width="13.576428571428572" customWidth="1" bestFit="1"/>
    <col min="4" max="4" style="13" width="13.576428571428572" customWidth="1" bestFit="1"/>
    <col min="5" max="5" style="13" width="13.576428571428572" customWidth="1" bestFit="1"/>
    <col min="6" max="6" style="12" width="13.576428571428572" customWidth="1" bestFit="1"/>
    <col min="7" max="7" style="12" width="19.14785714285714" customWidth="1" bestFit="1"/>
    <col min="8" max="8" style="12" width="6.576428571428571" customWidth="1" bestFit="1"/>
    <col min="9" max="9" style="12" width="6.576428571428571" customWidth="1" bestFit="1"/>
    <col min="10" max="10" style="12" width="6.576428571428571" customWidth="1" bestFit="1"/>
    <col min="11" max="11" style="12" width="6.576428571428571" customWidth="1" bestFit="1"/>
    <col min="12" max="12" style="12" width="6.576428571428571" customWidth="1" bestFit="1"/>
    <col min="13" max="13" style="12" width="6.576428571428571" customWidth="1" bestFit="1"/>
    <col min="14" max="14" style="12" width="6.576428571428571" customWidth="1" bestFit="1"/>
    <col min="15" max="15" style="12" width="6.576428571428571" customWidth="1" bestFit="1"/>
    <col min="16" max="16" style="12" width="6.576428571428571" customWidth="1" bestFit="1"/>
    <col min="17" max="17" style="12" width="6.576428571428571" customWidth="1" bestFit="1"/>
    <col min="18" max="18" style="12" width="6.576428571428571" customWidth="1" bestFit="1"/>
    <col min="19" max="19" style="12" width="6.576428571428571" customWidth="1" bestFit="1"/>
    <col min="20" max="20" style="12" width="6.576428571428571" customWidth="1" bestFit="1"/>
    <col min="21" max="21" style="12" width="6.576428571428571" customWidth="1" bestFit="1"/>
    <col min="22" max="22" style="12" width="6.576428571428571" customWidth="1" bestFit="1"/>
    <col min="23" max="23" style="12" width="6.576428571428571" customWidth="1" bestFit="1"/>
    <col min="24" max="24" style="12" width="6.576428571428571" customWidth="1" bestFit="1"/>
    <col min="25" max="25" style="12" width="6.576428571428571" customWidth="1" bestFit="1"/>
    <col min="26" max="26" style="12" width="6.576428571428571" customWidth="1" bestFit="1"/>
    <col min="27" max="27" style="12" width="6.576428571428571" customWidth="1" bestFit="1"/>
    <col min="28" max="28" style="12" width="6.576428571428571" customWidth="1" bestFit="1"/>
    <col min="29" max="29" style="12" width="6.576428571428571" customWidth="1" bestFit="1"/>
    <col min="30" max="30" style="12" width="6.576428571428571" customWidth="1" bestFit="1"/>
    <col min="31" max="31" style="12" width="6.576428571428571" customWidth="1" bestFit="1"/>
  </cols>
  <sheetData>
    <row x14ac:dyDescent="0.25" r="1" customHeight="1" ht="19.5">
      <c r="A1" s="1" t="s">
        <v>0</v>
      </c>
      <c r="B1" s="2"/>
      <c r="C1" s="3"/>
      <c r="D1" s="2"/>
      <c r="E1" s="2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/>
    </row>
    <row x14ac:dyDescent="0.25" r="2" customHeight="1" ht="19.5">
      <c r="A2" s="1" t="s">
        <v>1</v>
      </c>
      <c r="B2" s="2"/>
      <c r="C2" s="3"/>
      <c r="D2" s="2"/>
      <c r="E2" s="2"/>
      <c r="F2" s="3"/>
      <c r="G2" s="3"/>
      <c r="H2" s="4" t="s">
        <v>2</v>
      </c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4" t="s">
        <v>3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x14ac:dyDescent="0.25" r="3" customHeight="1" ht="19.5">
      <c r="A3" s="3"/>
      <c r="B3" s="2"/>
      <c r="C3" s="3"/>
      <c r="D3" s="2"/>
      <c r="E3" s="2"/>
      <c r="F3" s="3"/>
      <c r="G3" s="3"/>
      <c r="H3" s="7" t="s">
        <v>4</v>
      </c>
      <c r="I3" s="7"/>
      <c r="J3" s="7"/>
      <c r="K3" s="7"/>
      <c r="L3" s="7" t="s">
        <v>5</v>
      </c>
      <c r="M3" s="7"/>
      <c r="N3" s="7"/>
      <c r="O3" s="7"/>
      <c r="P3" s="7" t="s">
        <v>6</v>
      </c>
      <c r="Q3" s="7"/>
      <c r="R3" s="7"/>
      <c r="S3" s="7"/>
      <c r="T3" s="7" t="s">
        <v>4</v>
      </c>
      <c r="U3" s="7"/>
      <c r="V3" s="7"/>
      <c r="W3" s="7"/>
      <c r="X3" s="7" t="s">
        <v>5</v>
      </c>
      <c r="Y3" s="7"/>
      <c r="Z3" s="7"/>
      <c r="AA3" s="7"/>
      <c r="AB3" s="7" t="s">
        <v>6</v>
      </c>
      <c r="AC3" s="7"/>
      <c r="AD3" s="7"/>
      <c r="AE3" s="7"/>
    </row>
    <row x14ac:dyDescent="0.25" r="4" customHeight="1" ht="20.25">
      <c r="A4" s="1" t="s">
        <v>7</v>
      </c>
      <c r="B4" s="2" t="s">
        <v>8</v>
      </c>
      <c r="C4" s="1" t="s">
        <v>9</v>
      </c>
      <c r="D4" s="8" t="s">
        <v>10</v>
      </c>
      <c r="E4" s="8" t="s">
        <v>11</v>
      </c>
      <c r="F4" s="1" t="s">
        <v>12</v>
      </c>
      <c r="G4" s="1" t="s">
        <v>13</v>
      </c>
      <c r="H4" s="7">
        <v>0</v>
      </c>
      <c r="I4" s="7">
        <v>50</v>
      </c>
      <c r="J4" s="7">
        <v>100</v>
      </c>
      <c r="K4" s="7">
        <v>150</v>
      </c>
      <c r="L4" s="7">
        <v>0</v>
      </c>
      <c r="M4" s="7">
        <v>50</v>
      </c>
      <c r="N4" s="7">
        <v>100</v>
      </c>
      <c r="O4" s="7">
        <v>150</v>
      </c>
      <c r="P4" s="7">
        <v>0</v>
      </c>
      <c r="Q4" s="7">
        <v>50</v>
      </c>
      <c r="R4" s="7">
        <v>100</v>
      </c>
      <c r="S4" s="7">
        <v>150</v>
      </c>
      <c r="T4" s="7">
        <v>0</v>
      </c>
      <c r="U4" s="7">
        <v>50</v>
      </c>
      <c r="V4" s="7">
        <v>100</v>
      </c>
      <c r="W4" s="7">
        <v>150</v>
      </c>
      <c r="X4" s="7">
        <v>0</v>
      </c>
      <c r="Y4" s="7">
        <v>50</v>
      </c>
      <c r="Z4" s="7">
        <v>100</v>
      </c>
      <c r="AA4" s="7">
        <v>150</v>
      </c>
      <c r="AB4" s="7">
        <v>0</v>
      </c>
      <c r="AC4" s="7">
        <v>50</v>
      </c>
      <c r="AD4" s="7">
        <v>100</v>
      </c>
      <c r="AE4" s="7">
        <v>150</v>
      </c>
    </row>
    <row x14ac:dyDescent="0.25" r="5" customHeight="1" ht="19.5">
      <c r="A5" s="9">
        <v>1</v>
      </c>
      <c r="B5" s="2" t="s">
        <v>14</v>
      </c>
      <c r="C5" s="9">
        <v>4632</v>
      </c>
      <c r="D5" s="2" t="s">
        <v>15</v>
      </c>
      <c r="E5" s="2" t="s">
        <v>15</v>
      </c>
      <c r="F5" s="9">
        <v>0</v>
      </c>
      <c r="G5" s="9">
        <f>IF($E5=$D5, 1, 0)</f>
      </c>
      <c r="H5" s="3">
        <f>IF(AND($F5=0, $G5=1, $E5="[b]"), $C5,"")</f>
      </c>
      <c r="I5" s="3">
        <f>IF(AND($F5=50, $G5=1, $E5="[b]"), $C5,"")</f>
      </c>
      <c r="J5" s="3">
        <f>IF(AND($F5=100, $G5=1, $E5="[b]"), $C5,"")</f>
      </c>
      <c r="K5" s="3">
        <f>IF(AND($F5=150, $G5=1, $E5="[b]"), $C5,"")</f>
      </c>
      <c r="L5" s="9">
        <f>IF(AND($F5=0, $G5=1, $E5="[n]"), $C5,"")</f>
      </c>
      <c r="M5" s="3">
        <f>IF(AND($F5=50, $G5=1, $E5="[n]"), $C5,"")</f>
      </c>
      <c r="N5" s="3">
        <f>IF(AND($F5=100, $G5=1, $E5="[n]"), $C5,"")</f>
      </c>
      <c r="O5" s="3">
        <f>IF(AND($F5=150, $G5=1, $E5="[n]"), $C5,"")</f>
      </c>
      <c r="P5" s="9">
        <f>IF(AND($F5=0, $G5=1), $C5,"")</f>
      </c>
      <c r="Q5" s="3">
        <f>IF(AND($F5=50, $G5=1), $C5,"")</f>
      </c>
      <c r="R5" s="3">
        <f>IF(AND($F5=100, $G5=1), $C5,"")</f>
      </c>
      <c r="S5" s="3">
        <f>IF(AND($F5=150, $G5=1), $C5,"")</f>
      </c>
      <c r="T5" s="3">
        <f>IF(AND(H5&lt;(H$101+2*H$102), H5&gt;(H$101-2*H$102)), H5, "")</f>
      </c>
      <c r="U5" s="3">
        <f>IF(AND(I5&lt;(I$101+2*I$102), I5&gt;(I$101-2*I$102)), I5, "")</f>
      </c>
      <c r="V5" s="3">
        <f>IF(AND(J5&lt;(J$101+2*J$102), J5&gt;(J$101-2*J$102)), J5, "")</f>
      </c>
      <c r="W5" s="3">
        <f>IF(AND(K5&lt;(K$101+2*K$102), K5&gt;(K$101-2*K$102)), K5, "")</f>
      </c>
      <c r="X5" s="9">
        <f>IF(AND(L5&lt;(L$101+2*L$102), L5&gt;(L$101-2*L$102)), L5, "")</f>
      </c>
      <c r="Y5" s="3">
        <f>IF(AND(M5&lt;(M$101+2*M$102), M5&gt;(M$101-2*M$102)), M5, "")</f>
      </c>
      <c r="Z5" s="3">
        <f>IF(AND(N5&lt;(N$101+2*N$102), N5&gt;(N$101-2*N$102)), N5, "")</f>
      </c>
      <c r="AA5" s="3">
        <f>IF(AND(O5&lt;(O$101+2*O$102), O5&gt;(O$101-2*O$102)), O5, "")</f>
      </c>
      <c r="AB5" s="3">
        <f>IF(AND(P5&lt;(P$101+2*P$102), P5&gt;(P$101-2*P$102)), P5, "")</f>
      </c>
      <c r="AC5" s="3">
        <f>IF(AND(Q5&lt;(Q$101+2*Q$102), Q5&gt;(Q$101-2*Q$102)), Q5, "")</f>
      </c>
      <c r="AD5" s="3">
        <f>IF(AND(R5&lt;(R$101+2*R$102), R5&gt;(R$101-2*R$102)), R5, "")</f>
      </c>
      <c r="AE5" s="3">
        <f>IF(AND(S5&lt;(S$101+2*S$102), S5&gt;(S$101-2*S$102)), S5, "")</f>
      </c>
    </row>
    <row x14ac:dyDescent="0.25" r="6" customHeight="1" ht="19.5">
      <c r="A6" s="9">
        <v>2</v>
      </c>
      <c r="B6" s="2" t="s">
        <v>16</v>
      </c>
      <c r="C6" s="9">
        <v>6313</v>
      </c>
      <c r="D6" s="2" t="s">
        <v>15</v>
      </c>
      <c r="E6" s="2" t="s">
        <v>15</v>
      </c>
      <c r="F6" s="9">
        <v>150</v>
      </c>
      <c r="G6" s="9">
        <f>IF($E6=$D6, 1, 0)</f>
      </c>
      <c r="H6" s="3">
        <f>IF(AND($F6=0, $G6=1, $E6="[b]"), $C6,"")</f>
      </c>
      <c r="I6" s="3">
        <f>IF(AND($F6=50, $G6=1, $E6="[b]"), $C6,"")</f>
      </c>
      <c r="J6" s="3">
        <f>IF(AND($F6=100, $G6=1, $E6="[b]"), $C6,"")</f>
      </c>
      <c r="K6" s="3">
        <f>IF(AND($F6=150, $G6=1, $E6="[b]"), $C6,"")</f>
      </c>
      <c r="L6" s="3">
        <f>IF(AND($F6=0, $G6=1, $E6="[n]"), $C6,"")</f>
      </c>
      <c r="M6" s="3">
        <f>IF(AND($F6=50, $G6=1, $E6="[n]"), $C6,"")</f>
      </c>
      <c r="N6" s="3">
        <f>IF(AND($F6=100, $G6=1, $E6="[n]"), $C6,"")</f>
      </c>
      <c r="O6" s="9">
        <f>IF(AND($F6=150, $G6=1, $E6="[n]"), $C6,"")</f>
      </c>
      <c r="P6" s="3">
        <f>IF(AND($F6=0, $G6=1), $C6,"")</f>
      </c>
      <c r="Q6" s="3">
        <f>IF(AND($F6=50, $G6=1), $C6,"")</f>
      </c>
      <c r="R6" s="3">
        <f>IF(AND($F6=100, $G6=1), $C6,"")</f>
      </c>
      <c r="S6" s="9">
        <f>IF(AND($F6=150, $G6=1), $C6,"")</f>
      </c>
      <c r="T6" s="3">
        <f>IF(AND(H6&lt;(H$101+2*H$102), H6&gt;(H$101-2*H$102)), H6, "")</f>
      </c>
      <c r="U6" s="3">
        <f>IF(AND(I6&lt;(I$101+2*I$102), I6&gt;(I$101-2*I$102)), I6, "")</f>
      </c>
      <c r="V6" s="3">
        <f>IF(AND(J6&lt;(J$101+2*J$102), J6&gt;(J$101-2*J$102)), J6, "")</f>
      </c>
      <c r="W6" s="3">
        <f>IF(AND(K6&lt;(K$101+2*K$102), K6&gt;(K$101-2*K$102)), K6, "")</f>
      </c>
      <c r="X6" s="3">
        <f>IF(AND(L6&lt;(L$101+2*L$102), L6&gt;(L$101-2*L$102)), L6, "")</f>
      </c>
      <c r="Y6" s="3">
        <f>IF(AND(M6&lt;(M$101+2*M$102), M6&gt;(M$101-2*M$102)), M6, "")</f>
      </c>
      <c r="Z6" s="3">
        <f>IF(AND(N6&lt;(N$101+2*N$102), N6&gt;(N$101-2*N$102)), N6, "")</f>
      </c>
      <c r="AA6" s="9">
        <f>IF(AND(O6&lt;(O$101+2*O$102), O6&gt;(O$101-2*O$102)), O6, "")</f>
      </c>
      <c r="AB6" s="3">
        <f>IF(AND(P6&lt;(P$101+2*P$102), P6&gt;(P$101-2*P$102)), P6, "")</f>
      </c>
      <c r="AC6" s="3">
        <f>IF(AND(Q6&lt;(Q$101+2*Q$102), Q6&gt;(Q$101-2*Q$102)), Q6, "")</f>
      </c>
      <c r="AD6" s="3">
        <f>IF(AND(R6&lt;(R$101+2*R$102), R6&gt;(R$101-2*R$102)), R6, "")</f>
      </c>
      <c r="AE6" s="3">
        <f>IF(AND(S6&lt;(S$101+2*S$102), S6&gt;(S$101-2*S$102)), S6, "")</f>
      </c>
    </row>
    <row x14ac:dyDescent="0.25" r="7" customHeight="1" ht="19.5">
      <c r="A7" s="9">
        <v>3</v>
      </c>
      <c r="B7" s="2" t="s">
        <v>17</v>
      </c>
      <c r="C7" s="9">
        <v>3003</v>
      </c>
      <c r="D7" s="2" t="s">
        <v>18</v>
      </c>
      <c r="E7" s="2" t="s">
        <v>18</v>
      </c>
      <c r="F7" s="9">
        <v>150</v>
      </c>
      <c r="G7" s="9">
        <f>IF($E7=$D7, 1, 0)</f>
      </c>
      <c r="H7" s="3">
        <f>IF(AND($F7=0, $G7=1, $E7="[b]"), $C7,"")</f>
      </c>
      <c r="I7" s="3">
        <f>IF(AND($F7=50, $G7=1, $E7="[b]"), $C7,"")</f>
      </c>
      <c r="J7" s="3">
        <f>IF(AND($F7=100, $G7=1, $E7="[b]"), $C7,"")</f>
      </c>
      <c r="K7" s="9">
        <f>IF(AND($F7=150, $G7=1, $E7="[b]"), $C7,"")</f>
      </c>
      <c r="L7" s="3">
        <f>IF(AND($F7=0, $G7=1, $E7="[n]"), $C7,"")</f>
      </c>
      <c r="M7" s="3">
        <f>IF(AND($F7=50, $G7=1, $E7="[n]"), $C7,"")</f>
      </c>
      <c r="N7" s="3">
        <f>IF(AND($F7=100, $G7=1, $E7="[n]"), $C7,"")</f>
      </c>
      <c r="O7" s="3">
        <f>IF(AND($F7=150, $G7=1, $E7="[n]"), $C7,"")</f>
      </c>
      <c r="P7" s="3">
        <f>IF(AND($F7=0, $G7=1), $C7,"")</f>
      </c>
      <c r="Q7" s="3">
        <f>IF(AND($F7=50, $G7=1), $C7,"")</f>
      </c>
      <c r="R7" s="3">
        <f>IF(AND($F7=100, $G7=1), $C7,"")</f>
      </c>
      <c r="S7" s="9">
        <f>IF(AND($F7=150, $G7=1), $C7,"")</f>
      </c>
      <c r="T7" s="3">
        <f>IF(AND(H7&lt;(H$101+2*H$102), H7&gt;(H$101-2*H$102)), H7, "")</f>
      </c>
      <c r="U7" s="3">
        <f>IF(AND(I7&lt;(I$101+2*I$102), I7&gt;(I$101-2*I$102)), I7, "")</f>
      </c>
      <c r="V7" s="3">
        <f>IF(AND(J7&lt;(J$101+2*J$102), J7&gt;(J$101-2*J$102)), J7, "")</f>
      </c>
      <c r="W7" s="9">
        <f>IF(AND(K7&lt;(K$101+2*K$102), K7&gt;(K$101-2*K$102)), K7, "")</f>
      </c>
      <c r="X7" s="3">
        <f>IF(AND(L7&lt;(L$101+2*L$102), L7&gt;(L$101-2*L$102)), L7, "")</f>
      </c>
      <c r="Y7" s="3">
        <f>IF(AND(M7&lt;(M$101+2*M$102), M7&gt;(M$101-2*M$102)), M7, "")</f>
      </c>
      <c r="Z7" s="3">
        <f>IF(AND(N7&lt;(N$101+2*N$102), N7&gt;(N$101-2*N$102)), N7, "")</f>
      </c>
      <c r="AA7" s="3">
        <f>IF(AND(O7&lt;(O$101+2*O$102), O7&gt;(O$101-2*O$102)), O7, "")</f>
      </c>
      <c r="AB7" s="3">
        <f>IF(AND(P7&lt;(P$101+2*P$102), P7&gt;(P$101-2*P$102)), P7, "")</f>
      </c>
      <c r="AC7" s="3">
        <f>IF(AND(Q7&lt;(Q$101+2*Q$102), Q7&gt;(Q$101-2*Q$102)), Q7, "")</f>
      </c>
      <c r="AD7" s="3">
        <f>IF(AND(R7&lt;(R$101+2*R$102), R7&gt;(R$101-2*R$102)), R7, "")</f>
      </c>
      <c r="AE7" s="9">
        <f>IF(AND(S7&lt;(S$101+2*S$102), S7&gt;(S$101-2*S$102)), S7, "")</f>
      </c>
    </row>
    <row x14ac:dyDescent="0.25" r="8" customHeight="1" ht="19.5">
      <c r="A8" s="9">
        <v>4</v>
      </c>
      <c r="B8" s="2" t="s">
        <v>19</v>
      </c>
      <c r="C8" s="1" t="s">
        <v>20</v>
      </c>
      <c r="D8" s="2" t="s">
        <v>21</v>
      </c>
      <c r="E8" s="2" t="s">
        <v>18</v>
      </c>
      <c r="F8" s="9">
        <v>100</v>
      </c>
      <c r="G8" s="9">
        <f>IF($E8=$D8, 1, 0)</f>
      </c>
      <c r="H8" s="3">
        <f>IF(AND($F8=0, $G8=1, $E8="[b]"), $C8,"")</f>
      </c>
      <c r="I8" s="3">
        <f>IF(AND($F8=50, $G8=1, $E8="[b]"), $C8,"")</f>
      </c>
      <c r="J8" s="3">
        <f>IF(AND($F8=100, $G8=1, $E8="[b]"), $C8,"")</f>
      </c>
      <c r="K8" s="3">
        <f>IF(AND($F8=150, $G8=1, $E8="[b]"), $C8,"")</f>
      </c>
      <c r="L8" s="3">
        <f>IF(AND($F8=0, $G8=1, $E8="[n]"), $C8,"")</f>
      </c>
      <c r="M8" s="3">
        <f>IF(AND($F8=50, $G8=1, $E8="[n]"), $C8,"")</f>
      </c>
      <c r="N8" s="3">
        <f>IF(AND($F8=100, $G8=1, $E8="[n]"), $C8,"")</f>
      </c>
      <c r="O8" s="3">
        <f>IF(AND($F8=150, $G8=1, $E8="[n]"), $C8,"")</f>
      </c>
      <c r="P8" s="3">
        <f>IF(AND($F8=0, $G8=1), $C8,"")</f>
      </c>
      <c r="Q8" s="3">
        <f>IF(AND($F8=50, $G8=1), $C8,"")</f>
      </c>
      <c r="R8" s="3">
        <f>IF(AND($F8=100, $G8=1), $C8,"")</f>
      </c>
      <c r="S8" s="3">
        <f>IF(AND($F8=150, $G8=1), $C8,"")</f>
      </c>
      <c r="T8" s="3">
        <f>IF(AND(H8&lt;(H$101+2*H$102), H8&gt;(H$101-2*H$102)), H8, "")</f>
      </c>
      <c r="U8" s="3">
        <f>IF(AND(I8&lt;(I$101+2*I$102), I8&gt;(I$101-2*I$102)), I8, "")</f>
      </c>
      <c r="V8" s="3">
        <f>IF(AND(J8&lt;(J$101+2*J$102), J8&gt;(J$101-2*J$102)), J8, "")</f>
      </c>
      <c r="W8" s="3">
        <f>IF(AND(K8&lt;(K$101+2*K$102), K8&gt;(K$101-2*K$102)), K8, "")</f>
      </c>
      <c r="X8" s="3">
        <f>IF(AND(L8&lt;(L$101+2*L$102), L8&gt;(L$101-2*L$102)), L8, "")</f>
      </c>
      <c r="Y8" s="3">
        <f>IF(AND(M8&lt;(M$101+2*M$102), M8&gt;(M$101-2*M$102)), M8, "")</f>
      </c>
      <c r="Z8" s="3">
        <f>IF(AND(N8&lt;(N$101+2*N$102), N8&gt;(N$101-2*N$102)), N8, "")</f>
      </c>
      <c r="AA8" s="3">
        <f>IF(AND(O8&lt;(O$101+2*O$102), O8&gt;(O$101-2*O$102)), O8, "")</f>
      </c>
      <c r="AB8" s="3">
        <f>IF(AND(P8&lt;(P$101+2*P$102), P8&gt;(P$101-2*P$102)), P8, "")</f>
      </c>
      <c r="AC8" s="3">
        <f>IF(AND(Q8&lt;(Q$101+2*Q$102), Q8&gt;(Q$101-2*Q$102)), Q8, "")</f>
      </c>
      <c r="AD8" s="3">
        <f>IF(AND(R8&lt;(R$101+2*R$102), R8&gt;(R$101-2*R$102)), R8, "")</f>
      </c>
      <c r="AE8" s="3">
        <f>IF(AND(S8&lt;(S$101+2*S$102), S8&gt;(S$101-2*S$102)), S8, "")</f>
      </c>
    </row>
    <row x14ac:dyDescent="0.25" r="9" customHeight="1" ht="19.5">
      <c r="A9" s="9">
        <v>5</v>
      </c>
      <c r="B9" s="2" t="s">
        <v>22</v>
      </c>
      <c r="C9" s="9">
        <v>5045</v>
      </c>
      <c r="D9" s="2" t="s">
        <v>18</v>
      </c>
      <c r="E9" s="2" t="s">
        <v>18</v>
      </c>
      <c r="F9" s="9">
        <v>50</v>
      </c>
      <c r="G9" s="9">
        <f>IF($E9=$D9, 1, 0)</f>
      </c>
      <c r="H9" s="3">
        <f>IF(AND($F9=0, $G9=1, $E9="[b]"), $C9,"")</f>
      </c>
      <c r="I9" s="9">
        <f>IF(AND($F9=50, $G9=1, $E9="[b]"), $C9,"")</f>
      </c>
      <c r="J9" s="3">
        <f>IF(AND($F9=100, $G9=1, $E9="[b]"), $C9,"")</f>
      </c>
      <c r="K9" s="3">
        <f>IF(AND($F9=150, $G9=1, $E9="[b]"), $C9,"")</f>
      </c>
      <c r="L9" s="3">
        <f>IF(AND($F9=0, $G9=1, $E9="[n]"), $C9,"")</f>
      </c>
      <c r="M9" s="3">
        <f>IF(AND($F9=50, $G9=1, $E9="[n]"), $C9,"")</f>
      </c>
      <c r="N9" s="3">
        <f>IF(AND($F9=100, $G9=1, $E9="[n]"), $C9,"")</f>
      </c>
      <c r="O9" s="3">
        <f>IF(AND($F9=150, $G9=1, $E9="[n]"), $C9,"")</f>
      </c>
      <c r="P9" s="3">
        <f>IF(AND($F9=0, $G9=1), $C9,"")</f>
      </c>
      <c r="Q9" s="9">
        <f>IF(AND($F9=50, $G9=1), $C9,"")</f>
      </c>
      <c r="R9" s="3">
        <f>IF(AND($F9=100, $G9=1), $C9,"")</f>
      </c>
      <c r="S9" s="3">
        <f>IF(AND($F9=150, $G9=1), $C9,"")</f>
      </c>
      <c r="T9" s="3">
        <f>IF(AND(H9&lt;(H$101+2*H$102), H9&gt;(H$101-2*H$102)), H9, "")</f>
      </c>
      <c r="U9" s="3">
        <f>IF(AND(I9&lt;(I$101+2*I$102), I9&gt;(I$101-2*I$102)), I9, "")</f>
      </c>
      <c r="V9" s="3">
        <f>IF(AND(J9&lt;(J$101+2*J$102), J9&gt;(J$101-2*J$102)), J9, "")</f>
      </c>
      <c r="W9" s="3">
        <f>IF(AND(K9&lt;(K$101+2*K$102), K9&gt;(K$101-2*K$102)), K9, "")</f>
      </c>
      <c r="X9" s="3">
        <f>IF(AND(L9&lt;(L$101+2*L$102), L9&gt;(L$101-2*L$102)), L9, "")</f>
      </c>
      <c r="Y9" s="3">
        <f>IF(AND(M9&lt;(M$101+2*M$102), M9&gt;(M$101-2*M$102)), M9, "")</f>
      </c>
      <c r="Z9" s="3">
        <f>IF(AND(N9&lt;(N$101+2*N$102), N9&gt;(N$101-2*N$102)), N9, "")</f>
      </c>
      <c r="AA9" s="3">
        <f>IF(AND(O9&lt;(O$101+2*O$102), O9&gt;(O$101-2*O$102)), O9, "")</f>
      </c>
      <c r="AB9" s="3">
        <f>IF(AND(P9&lt;(P$101+2*P$102), P9&gt;(P$101-2*P$102)), P9, "")</f>
      </c>
      <c r="AC9" s="3">
        <f>IF(AND(Q9&lt;(Q$101+2*Q$102), Q9&gt;(Q$101-2*Q$102)), Q9, "")</f>
      </c>
      <c r="AD9" s="3">
        <f>IF(AND(R9&lt;(R$101+2*R$102), R9&gt;(R$101-2*R$102)), R9, "")</f>
      </c>
      <c r="AE9" s="3">
        <f>IF(AND(S9&lt;(S$101+2*S$102), S9&gt;(S$101-2*S$102)), S9, "")</f>
      </c>
    </row>
    <row x14ac:dyDescent="0.25" r="10" customHeight="1" ht="19.5">
      <c r="A10" s="9">
        <v>6</v>
      </c>
      <c r="B10" s="2" t="s">
        <v>23</v>
      </c>
      <c r="C10" s="9">
        <v>2480</v>
      </c>
      <c r="D10" s="2" t="s">
        <v>15</v>
      </c>
      <c r="E10" s="2" t="s">
        <v>15</v>
      </c>
      <c r="F10" s="9">
        <v>50</v>
      </c>
      <c r="G10" s="9">
        <f>IF($E10=$D10, 1, 0)</f>
      </c>
      <c r="H10" s="3">
        <f>IF(AND($F10=0, $G10=1, $E10="[b]"), $C10,"")</f>
      </c>
      <c r="I10" s="3">
        <f>IF(AND($F10=50, $G10=1, $E10="[b]"), $C10,"")</f>
      </c>
      <c r="J10" s="3">
        <f>IF(AND($F10=100, $G10=1, $E10="[b]"), $C10,"")</f>
      </c>
      <c r="K10" s="3">
        <f>IF(AND($F10=150, $G10=1, $E10="[b]"), $C10,"")</f>
      </c>
      <c r="L10" s="3">
        <f>IF(AND($F10=0, $G10=1, $E10="[n]"), $C10,"")</f>
      </c>
      <c r="M10" s="9">
        <f>IF(AND($F10=50, $G10=1, $E10="[n]"), $C10,"")</f>
      </c>
      <c r="N10" s="3">
        <f>IF(AND($F10=100, $G10=1, $E10="[n]"), $C10,"")</f>
      </c>
      <c r="O10" s="3">
        <f>IF(AND($F10=150, $G10=1, $E10="[n]"), $C10,"")</f>
      </c>
      <c r="P10" s="3">
        <f>IF(AND($F10=0, $G10=1), $C10,"")</f>
      </c>
      <c r="Q10" s="9">
        <f>IF(AND($F10=50, $G10=1), $C10,"")</f>
      </c>
      <c r="R10" s="3">
        <f>IF(AND($F10=100, $G10=1), $C10,"")</f>
      </c>
      <c r="S10" s="3">
        <f>IF(AND($F10=150, $G10=1), $C10,"")</f>
      </c>
      <c r="T10" s="3">
        <f>IF(AND(H10&lt;(H$101+2*H$102), H10&gt;(H$101-2*H$102)), H10, "")</f>
      </c>
      <c r="U10" s="3">
        <f>IF(AND(I10&lt;(I$101+2*I$102), I10&gt;(I$101-2*I$102)), I10, "")</f>
      </c>
      <c r="V10" s="3">
        <f>IF(AND(J10&lt;(J$101+2*J$102), J10&gt;(J$101-2*J$102)), J10, "")</f>
      </c>
      <c r="W10" s="3">
        <f>IF(AND(K10&lt;(K$101+2*K$102), K10&gt;(K$101-2*K$102)), K10, "")</f>
      </c>
      <c r="X10" s="3">
        <f>IF(AND(L10&lt;(L$101+2*L$102), L10&gt;(L$101-2*L$102)), L10, "")</f>
      </c>
      <c r="Y10" s="9">
        <f>IF(AND(M10&lt;(M$101+2*M$102), M10&gt;(M$101-2*M$102)), M10, "")</f>
      </c>
      <c r="Z10" s="3">
        <f>IF(AND(N10&lt;(N$101+2*N$102), N10&gt;(N$101-2*N$102)), N10, "")</f>
      </c>
      <c r="AA10" s="3">
        <f>IF(AND(O10&lt;(O$101+2*O$102), O10&gt;(O$101-2*O$102)), O10, "")</f>
      </c>
      <c r="AB10" s="3">
        <f>IF(AND(P10&lt;(P$101+2*P$102), P10&gt;(P$101-2*P$102)), P10, "")</f>
      </c>
      <c r="AC10" s="9">
        <f>IF(AND(Q10&lt;(Q$101+2*Q$102), Q10&gt;(Q$101-2*Q$102)), Q10, "")</f>
      </c>
      <c r="AD10" s="3">
        <f>IF(AND(R10&lt;(R$101+2*R$102), R10&gt;(R$101-2*R$102)), R10, "")</f>
      </c>
      <c r="AE10" s="3">
        <f>IF(AND(S10&lt;(S$101+2*S$102), S10&gt;(S$101-2*S$102)), S10, "")</f>
      </c>
    </row>
    <row x14ac:dyDescent="0.25" r="11" customHeight="1" ht="19.5">
      <c r="A11" s="9">
        <v>7</v>
      </c>
      <c r="B11" s="2" t="s">
        <v>24</v>
      </c>
      <c r="C11" s="9">
        <v>6416</v>
      </c>
      <c r="D11" s="2" t="s">
        <v>15</v>
      </c>
      <c r="E11" s="2" t="s">
        <v>15</v>
      </c>
      <c r="F11" s="9">
        <v>100</v>
      </c>
      <c r="G11" s="9">
        <f>IF($E11=$D11, 1, 0)</f>
      </c>
      <c r="H11" s="3">
        <f>IF(AND($F11=0, $G11=1, $E11="[b]"), $C11,"")</f>
      </c>
      <c r="I11" s="3">
        <f>IF(AND($F11=50, $G11=1, $E11="[b]"), $C11,"")</f>
      </c>
      <c r="J11" s="3">
        <f>IF(AND($F11=100, $G11=1, $E11="[b]"), $C11,"")</f>
      </c>
      <c r="K11" s="3">
        <f>IF(AND($F11=150, $G11=1, $E11="[b]"), $C11,"")</f>
      </c>
      <c r="L11" s="3">
        <f>IF(AND($F11=0, $G11=1, $E11="[n]"), $C11,"")</f>
      </c>
      <c r="M11" s="3">
        <f>IF(AND($F11=50, $G11=1, $E11="[n]"), $C11,"")</f>
      </c>
      <c r="N11" s="9">
        <f>IF(AND($F11=100, $G11=1, $E11="[n]"), $C11,"")</f>
      </c>
      <c r="O11" s="3">
        <f>IF(AND($F11=150, $G11=1, $E11="[n]"), $C11,"")</f>
      </c>
      <c r="P11" s="3">
        <f>IF(AND($F11=0, $G11=1), $C11,"")</f>
      </c>
      <c r="Q11" s="3">
        <f>IF(AND($F11=50, $G11=1), $C11,"")</f>
      </c>
      <c r="R11" s="9">
        <f>IF(AND($F11=100, $G11=1), $C11,"")</f>
      </c>
      <c r="S11" s="3">
        <f>IF(AND($F11=150, $G11=1), $C11,"")</f>
      </c>
      <c r="T11" s="3">
        <f>IF(AND(H11&lt;(H$101+2*H$102), H11&gt;(H$101-2*H$102)), H11, "")</f>
      </c>
      <c r="U11" s="3">
        <f>IF(AND(I11&lt;(I$101+2*I$102), I11&gt;(I$101-2*I$102)), I11, "")</f>
      </c>
      <c r="V11" s="3">
        <f>IF(AND(J11&lt;(J$101+2*J$102), J11&gt;(J$101-2*J$102)), J11, "")</f>
      </c>
      <c r="W11" s="3">
        <f>IF(AND(K11&lt;(K$101+2*K$102), K11&gt;(K$101-2*K$102)), K11, "")</f>
      </c>
      <c r="X11" s="3">
        <f>IF(AND(L11&lt;(L$101+2*L$102), L11&gt;(L$101-2*L$102)), L11, "")</f>
      </c>
      <c r="Y11" s="3">
        <f>IF(AND(M11&lt;(M$101+2*M$102), M11&gt;(M$101-2*M$102)), M11, "")</f>
      </c>
      <c r="Z11" s="9">
        <f>IF(AND(N11&lt;(N$101+2*N$102), N11&gt;(N$101-2*N$102)), N11, "")</f>
      </c>
      <c r="AA11" s="3">
        <f>IF(AND(O11&lt;(O$101+2*O$102), O11&gt;(O$101-2*O$102)), O11, "")</f>
      </c>
      <c r="AB11" s="3">
        <f>IF(AND(P11&lt;(P$101+2*P$102), P11&gt;(P$101-2*P$102)), P11, "")</f>
      </c>
      <c r="AC11" s="3">
        <f>IF(AND(Q11&lt;(Q$101+2*Q$102), Q11&gt;(Q$101-2*Q$102)), Q11, "")</f>
      </c>
      <c r="AD11" s="3">
        <f>IF(AND(R11&lt;(R$101+2*R$102), R11&gt;(R$101-2*R$102)), R11, "")</f>
      </c>
      <c r="AE11" s="3">
        <f>IF(AND(S11&lt;(S$101+2*S$102), S11&gt;(S$101-2*S$102)), S11, "")</f>
      </c>
    </row>
    <row x14ac:dyDescent="0.25" r="12" customHeight="1" ht="19.5">
      <c r="A12" s="9">
        <v>8</v>
      </c>
      <c r="B12" s="2" t="s">
        <v>25</v>
      </c>
      <c r="C12" s="9">
        <v>1799</v>
      </c>
      <c r="D12" s="2" t="s">
        <v>18</v>
      </c>
      <c r="E12" s="2" t="s">
        <v>18</v>
      </c>
      <c r="F12" s="9">
        <v>0</v>
      </c>
      <c r="G12" s="9">
        <f>IF($E12=$D12, 1, 0)</f>
      </c>
      <c r="H12" s="9">
        <f>IF(AND($F12=0, $G12=1, $E12="[b]"), $C12,"")</f>
      </c>
      <c r="I12" s="3">
        <f>IF(AND($F12=50, $G12=1, $E12="[b]"), $C12,"")</f>
      </c>
      <c r="J12" s="3">
        <f>IF(AND($F12=100, $G12=1, $E12="[b]"), $C12,"")</f>
      </c>
      <c r="K12" s="3">
        <f>IF(AND($F12=150, $G12=1, $E12="[b]"), $C12,"")</f>
      </c>
      <c r="L12" s="3">
        <f>IF(AND($F12=0, $G12=1, $E12="[n]"), $C12,"")</f>
      </c>
      <c r="M12" s="3">
        <f>IF(AND($F12=50, $G12=1, $E12="[n]"), $C12,"")</f>
      </c>
      <c r="N12" s="3">
        <f>IF(AND($F12=100, $G12=1, $E12="[n]"), $C12,"")</f>
      </c>
      <c r="O12" s="3">
        <f>IF(AND($F12=150, $G12=1, $E12="[n]"), $C12,"")</f>
      </c>
      <c r="P12" s="9">
        <f>IF(AND($F12=0, $G12=1), $C12,"")</f>
      </c>
      <c r="Q12" s="3">
        <f>IF(AND($F12=50, $G12=1), $C12,"")</f>
      </c>
      <c r="R12" s="3">
        <f>IF(AND($F12=100, $G12=1), $C12,"")</f>
      </c>
      <c r="S12" s="3">
        <f>IF(AND($F12=150, $G12=1), $C12,"")</f>
      </c>
      <c r="T12" s="9">
        <f>IF(AND(H12&lt;(H$101+2*H$102), H12&gt;(H$101-2*H$102)), H12, "")</f>
      </c>
      <c r="U12" s="3">
        <f>IF(AND(I12&lt;(I$101+2*I$102), I12&gt;(I$101-2*I$102)), I12, "")</f>
      </c>
      <c r="V12" s="3">
        <f>IF(AND(J12&lt;(J$101+2*J$102), J12&gt;(J$101-2*J$102)), J12, "")</f>
      </c>
      <c r="W12" s="3">
        <f>IF(AND(K12&lt;(K$101+2*K$102), K12&gt;(K$101-2*K$102)), K12, "")</f>
      </c>
      <c r="X12" s="3">
        <f>IF(AND(L12&lt;(L$101+2*L$102), L12&gt;(L$101-2*L$102)), L12, "")</f>
      </c>
      <c r="Y12" s="3">
        <f>IF(AND(M12&lt;(M$101+2*M$102), M12&gt;(M$101-2*M$102)), M12, "")</f>
      </c>
      <c r="Z12" s="3">
        <f>IF(AND(N12&lt;(N$101+2*N$102), N12&gt;(N$101-2*N$102)), N12, "")</f>
      </c>
      <c r="AA12" s="3">
        <f>IF(AND(O12&lt;(O$101+2*O$102), O12&gt;(O$101-2*O$102)), O12, "")</f>
      </c>
      <c r="AB12" s="9">
        <f>IF(AND(P12&lt;(P$101+2*P$102), P12&gt;(P$101-2*P$102)), P12, "")</f>
      </c>
      <c r="AC12" s="3">
        <f>IF(AND(Q12&lt;(Q$101+2*Q$102), Q12&gt;(Q$101-2*Q$102)), Q12, "")</f>
      </c>
      <c r="AD12" s="3">
        <f>IF(AND(R12&lt;(R$101+2*R$102), R12&gt;(R$101-2*R$102)), R12, "")</f>
      </c>
      <c r="AE12" s="3">
        <f>IF(AND(S12&lt;(S$101+2*S$102), S12&gt;(S$101-2*S$102)), S12, "")</f>
      </c>
    </row>
    <row x14ac:dyDescent="0.25" r="13" customHeight="1" ht="19.5">
      <c r="A13" s="9">
        <v>9</v>
      </c>
      <c r="B13" s="2" t="s">
        <v>26</v>
      </c>
      <c r="C13" s="1" t="s">
        <v>20</v>
      </c>
      <c r="D13" s="2" t="s">
        <v>21</v>
      </c>
      <c r="E13" s="2" t="s">
        <v>15</v>
      </c>
      <c r="F13" s="9">
        <v>150</v>
      </c>
      <c r="G13" s="9">
        <f>IF($E13=$D13, 1, 0)</f>
      </c>
      <c r="H13" s="3">
        <f>IF(AND($F13=0, $G13=1, $E13="[b]"), $C13,"")</f>
      </c>
      <c r="I13" s="3">
        <f>IF(AND($F13=50, $G13=1, $E13="[b]"), $C13,"")</f>
      </c>
      <c r="J13" s="3">
        <f>IF(AND($F13=100, $G13=1, $E13="[b]"), $C13,"")</f>
      </c>
      <c r="K13" s="3">
        <f>IF(AND($F13=150, $G13=1, $E13="[b]"), $C13,"")</f>
      </c>
      <c r="L13" s="3">
        <f>IF(AND($F13=0, $G13=1, $E13="[n]"), $C13,"")</f>
      </c>
      <c r="M13" s="3">
        <f>IF(AND($F13=50, $G13=1, $E13="[n]"), $C13,"")</f>
      </c>
      <c r="N13" s="3">
        <f>IF(AND($F13=100, $G13=1, $E13="[n]"), $C13,"")</f>
      </c>
      <c r="O13" s="3">
        <f>IF(AND($F13=150, $G13=1, $E13="[n]"), $C13,"")</f>
      </c>
      <c r="P13" s="3">
        <f>IF(AND($F13=0, $G13=1), $C13,"")</f>
      </c>
      <c r="Q13" s="3">
        <f>IF(AND($F13=50, $G13=1), $C13,"")</f>
      </c>
      <c r="R13" s="3">
        <f>IF(AND($F13=100, $G13=1), $C13,"")</f>
      </c>
      <c r="S13" s="3">
        <f>IF(AND($F13=150, $G13=1), $C13,"")</f>
      </c>
      <c r="T13" s="3">
        <f>IF(AND(H13&lt;(H$101+2*H$102), H13&gt;(H$101-2*H$102)), H13, "")</f>
      </c>
      <c r="U13" s="3">
        <f>IF(AND(I13&lt;(I$101+2*I$102), I13&gt;(I$101-2*I$102)), I13, "")</f>
      </c>
      <c r="V13" s="3">
        <f>IF(AND(J13&lt;(J$101+2*J$102), J13&gt;(J$101-2*J$102)), J13, "")</f>
      </c>
      <c r="W13" s="3">
        <f>IF(AND(K13&lt;(K$101+2*K$102), K13&gt;(K$101-2*K$102)), K13, "")</f>
      </c>
      <c r="X13" s="3">
        <f>IF(AND(L13&lt;(L$101+2*L$102), L13&gt;(L$101-2*L$102)), L13, "")</f>
      </c>
      <c r="Y13" s="3">
        <f>IF(AND(M13&lt;(M$101+2*M$102), M13&gt;(M$101-2*M$102)), M13, "")</f>
      </c>
      <c r="Z13" s="3">
        <f>IF(AND(N13&lt;(N$101+2*N$102), N13&gt;(N$101-2*N$102)), N13, "")</f>
      </c>
      <c r="AA13" s="3">
        <f>IF(AND(O13&lt;(O$101+2*O$102), O13&gt;(O$101-2*O$102)), O13, "")</f>
      </c>
      <c r="AB13" s="3">
        <f>IF(AND(P13&lt;(P$101+2*P$102), P13&gt;(P$101-2*P$102)), P13, "")</f>
      </c>
      <c r="AC13" s="3">
        <f>IF(AND(Q13&lt;(Q$101+2*Q$102), Q13&gt;(Q$101-2*Q$102)), Q13, "")</f>
      </c>
      <c r="AD13" s="3">
        <f>IF(AND(R13&lt;(R$101+2*R$102), R13&gt;(R$101-2*R$102)), R13, "")</f>
      </c>
      <c r="AE13" s="3">
        <f>IF(AND(S13&lt;(S$101+2*S$102), S13&gt;(S$101-2*S$102)), S13, "")</f>
      </c>
    </row>
    <row x14ac:dyDescent="0.25" r="14" customHeight="1" ht="19.5">
      <c r="A14" s="9">
        <v>10</v>
      </c>
      <c r="B14" s="2" t="s">
        <v>27</v>
      </c>
      <c r="C14" s="9">
        <v>4643</v>
      </c>
      <c r="D14" s="2" t="s">
        <v>15</v>
      </c>
      <c r="E14" s="2" t="s">
        <v>18</v>
      </c>
      <c r="F14" s="9">
        <v>150</v>
      </c>
      <c r="G14" s="9">
        <f>IF($E14=$D14, 1, 0)</f>
      </c>
      <c r="H14" s="3">
        <f>IF(AND($F14=0, $G14=1, $E14="[b]"), $C14,"")</f>
      </c>
      <c r="I14" s="3">
        <f>IF(AND($F14=50, $G14=1, $E14="[b]"), $C14,"")</f>
      </c>
      <c r="J14" s="3">
        <f>IF(AND($F14=100, $G14=1, $E14="[b]"), $C14,"")</f>
      </c>
      <c r="K14" s="3">
        <f>IF(AND($F14=150, $G14=1, $E14="[b]"), $C14,"")</f>
      </c>
      <c r="L14" s="3">
        <f>IF(AND($F14=0, $G14=1, $E14="[n]"), $C14,"")</f>
      </c>
      <c r="M14" s="3">
        <f>IF(AND($F14=50, $G14=1, $E14="[n]"), $C14,"")</f>
      </c>
      <c r="N14" s="3">
        <f>IF(AND($F14=100, $G14=1, $E14="[n]"), $C14,"")</f>
      </c>
      <c r="O14" s="3">
        <f>IF(AND($F14=150, $G14=1, $E14="[n]"), $C14,"")</f>
      </c>
      <c r="P14" s="3">
        <f>IF(AND($F14=0, $G14=1), $C14,"")</f>
      </c>
      <c r="Q14" s="3">
        <f>IF(AND($F14=50, $G14=1), $C14,"")</f>
      </c>
      <c r="R14" s="3">
        <f>IF(AND($F14=100, $G14=1), $C14,"")</f>
      </c>
      <c r="S14" s="3">
        <f>IF(AND($F14=150, $G14=1), $C14,"")</f>
      </c>
      <c r="T14" s="3">
        <f>IF(AND(H14&lt;(H$101+2*H$102), H14&gt;(H$101-2*H$102)), H14, "")</f>
      </c>
      <c r="U14" s="3">
        <f>IF(AND(I14&lt;(I$101+2*I$102), I14&gt;(I$101-2*I$102)), I14, "")</f>
      </c>
      <c r="V14" s="3">
        <f>IF(AND(J14&lt;(J$101+2*J$102), J14&gt;(J$101-2*J$102)), J14, "")</f>
      </c>
      <c r="W14" s="3">
        <f>IF(AND(K14&lt;(K$101+2*K$102), K14&gt;(K$101-2*K$102)), K14, "")</f>
      </c>
      <c r="X14" s="3">
        <f>IF(AND(L14&lt;(L$101+2*L$102), L14&gt;(L$101-2*L$102)), L14, "")</f>
      </c>
      <c r="Y14" s="3">
        <f>IF(AND(M14&lt;(M$101+2*M$102), M14&gt;(M$101-2*M$102)), M14, "")</f>
      </c>
      <c r="Z14" s="3">
        <f>IF(AND(N14&lt;(N$101+2*N$102), N14&gt;(N$101-2*N$102)), N14, "")</f>
      </c>
      <c r="AA14" s="3">
        <f>IF(AND(O14&lt;(O$101+2*O$102), O14&gt;(O$101-2*O$102)), O14, "")</f>
      </c>
      <c r="AB14" s="3">
        <f>IF(AND(P14&lt;(P$101+2*P$102), P14&gt;(P$101-2*P$102)), P14, "")</f>
      </c>
      <c r="AC14" s="3">
        <f>IF(AND(Q14&lt;(Q$101+2*Q$102), Q14&gt;(Q$101-2*Q$102)), Q14, "")</f>
      </c>
      <c r="AD14" s="3">
        <f>IF(AND(R14&lt;(R$101+2*R$102), R14&gt;(R$101-2*R$102)), R14, "")</f>
      </c>
      <c r="AE14" s="3">
        <f>IF(AND(S14&lt;(S$101+2*S$102), S14&gt;(S$101-2*S$102)), S14, "")</f>
      </c>
    </row>
    <row x14ac:dyDescent="0.25" r="15" customHeight="1" ht="19.5">
      <c r="A15" s="9">
        <v>11</v>
      </c>
      <c r="B15" s="2" t="s">
        <v>28</v>
      </c>
      <c r="C15" s="9">
        <v>4560</v>
      </c>
      <c r="D15" s="2" t="s">
        <v>15</v>
      </c>
      <c r="E15" s="2" t="s">
        <v>15</v>
      </c>
      <c r="F15" s="9">
        <v>50</v>
      </c>
      <c r="G15" s="9">
        <f>IF($E15=$D15, 1, 0)</f>
      </c>
      <c r="H15" s="3">
        <f>IF(AND($F15=0, $G15=1, $E15="[b]"), $C15,"")</f>
      </c>
      <c r="I15" s="3">
        <f>IF(AND($F15=50, $G15=1, $E15="[b]"), $C15,"")</f>
      </c>
      <c r="J15" s="3">
        <f>IF(AND($F15=100, $G15=1, $E15="[b]"), $C15,"")</f>
      </c>
      <c r="K15" s="3">
        <f>IF(AND($F15=150, $G15=1, $E15="[b]"), $C15,"")</f>
      </c>
      <c r="L15" s="3">
        <f>IF(AND($F15=0, $G15=1, $E15="[n]"), $C15,"")</f>
      </c>
      <c r="M15" s="9">
        <f>IF(AND($F15=50, $G15=1, $E15="[n]"), $C15,"")</f>
      </c>
      <c r="N15" s="3">
        <f>IF(AND($F15=100, $G15=1, $E15="[n]"), $C15,"")</f>
      </c>
      <c r="O15" s="3">
        <f>IF(AND($F15=150, $G15=1, $E15="[n]"), $C15,"")</f>
      </c>
      <c r="P15" s="3">
        <f>IF(AND($F15=0, $G15=1), $C15,"")</f>
      </c>
      <c r="Q15" s="9">
        <f>IF(AND($F15=50, $G15=1), $C15,"")</f>
      </c>
      <c r="R15" s="3">
        <f>IF(AND($F15=100, $G15=1), $C15,"")</f>
      </c>
      <c r="S15" s="3">
        <f>IF(AND($F15=150, $G15=1), $C15,"")</f>
      </c>
      <c r="T15" s="3">
        <f>IF(AND(H15&lt;(H$101+2*H$102), H15&gt;(H$101-2*H$102)), H15, "")</f>
      </c>
      <c r="U15" s="3">
        <f>IF(AND(I15&lt;(I$101+2*I$102), I15&gt;(I$101-2*I$102)), I15, "")</f>
      </c>
      <c r="V15" s="3">
        <f>IF(AND(J15&lt;(J$101+2*J$102), J15&gt;(J$101-2*J$102)), J15, "")</f>
      </c>
      <c r="W15" s="3">
        <f>IF(AND(K15&lt;(K$101+2*K$102), K15&gt;(K$101-2*K$102)), K15, "")</f>
      </c>
      <c r="X15" s="3">
        <f>IF(AND(L15&lt;(L$101+2*L$102), L15&gt;(L$101-2*L$102)), L15, "")</f>
      </c>
      <c r="Y15" s="9">
        <f>IF(AND(M15&lt;(M$101+2*M$102), M15&gt;(M$101-2*M$102)), M15, "")</f>
      </c>
      <c r="Z15" s="3">
        <f>IF(AND(N15&lt;(N$101+2*N$102), N15&gt;(N$101-2*N$102)), N15, "")</f>
      </c>
      <c r="AA15" s="3">
        <f>IF(AND(O15&lt;(O$101+2*O$102), O15&gt;(O$101-2*O$102)), O15, "")</f>
      </c>
      <c r="AB15" s="3">
        <f>IF(AND(P15&lt;(P$101+2*P$102), P15&gt;(P$101-2*P$102)), P15, "")</f>
      </c>
      <c r="AC15" s="9">
        <f>IF(AND(Q15&lt;(Q$101+2*Q$102), Q15&gt;(Q$101-2*Q$102)), Q15, "")</f>
      </c>
      <c r="AD15" s="3">
        <f>IF(AND(R15&lt;(R$101+2*R$102), R15&gt;(R$101-2*R$102)), R15, "")</f>
      </c>
      <c r="AE15" s="3">
        <f>IF(AND(S15&lt;(S$101+2*S$102), S15&gt;(S$101-2*S$102)), S15, "")</f>
      </c>
    </row>
    <row x14ac:dyDescent="0.25" r="16" customHeight="1" ht="19.5">
      <c r="A16" s="9">
        <v>12</v>
      </c>
      <c r="B16" s="2" t="s">
        <v>29</v>
      </c>
      <c r="C16" s="9">
        <v>2841</v>
      </c>
      <c r="D16" s="2" t="s">
        <v>15</v>
      </c>
      <c r="E16" s="2" t="s">
        <v>15</v>
      </c>
      <c r="F16" s="9">
        <v>0</v>
      </c>
      <c r="G16" s="9">
        <f>IF($E16=$D16, 1, 0)</f>
      </c>
      <c r="H16" s="3">
        <f>IF(AND($F16=0, $G16=1, $E16="[b]"), $C16,"")</f>
      </c>
      <c r="I16" s="3">
        <f>IF(AND($F16=50, $G16=1, $E16="[b]"), $C16,"")</f>
      </c>
      <c r="J16" s="3">
        <f>IF(AND($F16=100, $G16=1, $E16="[b]"), $C16,"")</f>
      </c>
      <c r="K16" s="3">
        <f>IF(AND($F16=150, $G16=1, $E16="[b]"), $C16,"")</f>
      </c>
      <c r="L16" s="9">
        <f>IF(AND($F16=0, $G16=1, $E16="[n]"), $C16,"")</f>
      </c>
      <c r="M16" s="3">
        <f>IF(AND($F16=50, $G16=1, $E16="[n]"), $C16,"")</f>
      </c>
      <c r="N16" s="3">
        <f>IF(AND($F16=100, $G16=1, $E16="[n]"), $C16,"")</f>
      </c>
      <c r="O16" s="3">
        <f>IF(AND($F16=150, $G16=1, $E16="[n]"), $C16,"")</f>
      </c>
      <c r="P16" s="9">
        <f>IF(AND($F16=0, $G16=1), $C16,"")</f>
      </c>
      <c r="Q16" s="3">
        <f>IF(AND($F16=50, $G16=1), $C16,"")</f>
      </c>
      <c r="R16" s="3">
        <f>IF(AND($F16=100, $G16=1), $C16,"")</f>
      </c>
      <c r="S16" s="3">
        <f>IF(AND($F16=150, $G16=1), $C16,"")</f>
      </c>
      <c r="T16" s="3">
        <f>IF(AND(H16&lt;(H$101+2*H$102), H16&gt;(H$101-2*H$102)), H16, "")</f>
      </c>
      <c r="U16" s="3">
        <f>IF(AND(I16&lt;(I$101+2*I$102), I16&gt;(I$101-2*I$102)), I16, "")</f>
      </c>
      <c r="V16" s="3">
        <f>IF(AND(J16&lt;(J$101+2*J$102), J16&gt;(J$101-2*J$102)), J16, "")</f>
      </c>
      <c r="W16" s="3">
        <f>IF(AND(K16&lt;(K$101+2*K$102), K16&gt;(K$101-2*K$102)), K16, "")</f>
      </c>
      <c r="X16" s="9">
        <f>IF(AND(L16&lt;(L$101+2*L$102), L16&gt;(L$101-2*L$102)), L16, "")</f>
      </c>
      <c r="Y16" s="3">
        <f>IF(AND(M16&lt;(M$101+2*M$102), M16&gt;(M$101-2*M$102)), M16, "")</f>
      </c>
      <c r="Z16" s="3">
        <f>IF(AND(N16&lt;(N$101+2*N$102), N16&gt;(N$101-2*N$102)), N16, "")</f>
      </c>
      <c r="AA16" s="3">
        <f>IF(AND(O16&lt;(O$101+2*O$102), O16&gt;(O$101-2*O$102)), O16, "")</f>
      </c>
      <c r="AB16" s="9">
        <f>IF(AND(P16&lt;(P$101+2*P$102), P16&gt;(P$101-2*P$102)), P16, "")</f>
      </c>
      <c r="AC16" s="3">
        <f>IF(AND(Q16&lt;(Q$101+2*Q$102), Q16&gt;(Q$101-2*Q$102)), Q16, "")</f>
      </c>
      <c r="AD16" s="3">
        <f>IF(AND(R16&lt;(R$101+2*R$102), R16&gt;(R$101-2*R$102)), R16, "")</f>
      </c>
      <c r="AE16" s="3">
        <f>IF(AND(S16&lt;(S$101+2*S$102), S16&gt;(S$101-2*S$102)), S16, "")</f>
      </c>
    </row>
    <row x14ac:dyDescent="0.25" r="17" customHeight="1" ht="19.5">
      <c r="A17" s="9">
        <v>13</v>
      </c>
      <c r="B17" s="2" t="s">
        <v>30</v>
      </c>
      <c r="C17" s="9">
        <v>1701</v>
      </c>
      <c r="D17" s="2" t="s">
        <v>18</v>
      </c>
      <c r="E17" s="2" t="s">
        <v>18</v>
      </c>
      <c r="F17" s="9">
        <v>0</v>
      </c>
      <c r="G17" s="9">
        <f>IF($E17=$D17, 1, 0)</f>
      </c>
      <c r="H17" s="9">
        <f>IF(AND($F17=0, $G17=1, $E17="[b]"), $C17,"")</f>
      </c>
      <c r="I17" s="3">
        <f>IF(AND($F17=50, $G17=1, $E17="[b]"), $C17,"")</f>
      </c>
      <c r="J17" s="3">
        <f>IF(AND($F17=100, $G17=1, $E17="[b]"), $C17,"")</f>
      </c>
      <c r="K17" s="3">
        <f>IF(AND($F17=150, $G17=1, $E17="[b]"), $C17,"")</f>
      </c>
      <c r="L17" s="3">
        <f>IF(AND($F17=0, $G17=1, $E17="[n]"), $C17,"")</f>
      </c>
      <c r="M17" s="3">
        <f>IF(AND($F17=50, $G17=1, $E17="[n]"), $C17,"")</f>
      </c>
      <c r="N17" s="3">
        <f>IF(AND($F17=100, $G17=1, $E17="[n]"), $C17,"")</f>
      </c>
      <c r="O17" s="3">
        <f>IF(AND($F17=150, $G17=1, $E17="[n]"), $C17,"")</f>
      </c>
      <c r="P17" s="9">
        <f>IF(AND($F17=0, $G17=1), $C17,"")</f>
      </c>
      <c r="Q17" s="3">
        <f>IF(AND($F17=50, $G17=1), $C17,"")</f>
      </c>
      <c r="R17" s="3">
        <f>IF(AND($F17=100, $G17=1), $C17,"")</f>
      </c>
      <c r="S17" s="3">
        <f>IF(AND($F17=150, $G17=1), $C17,"")</f>
      </c>
      <c r="T17" s="9">
        <f>IF(AND(H17&lt;(H$101+2*H$102), H17&gt;(H$101-2*H$102)), H17, "")</f>
      </c>
      <c r="U17" s="3">
        <f>IF(AND(I17&lt;(I$101+2*I$102), I17&gt;(I$101-2*I$102)), I17, "")</f>
      </c>
      <c r="V17" s="3">
        <f>IF(AND(J17&lt;(J$101+2*J$102), J17&gt;(J$101-2*J$102)), J17, "")</f>
      </c>
      <c r="W17" s="3">
        <f>IF(AND(K17&lt;(K$101+2*K$102), K17&gt;(K$101-2*K$102)), K17, "")</f>
      </c>
      <c r="X17" s="3">
        <f>IF(AND(L17&lt;(L$101+2*L$102), L17&gt;(L$101-2*L$102)), L17, "")</f>
      </c>
      <c r="Y17" s="3">
        <f>IF(AND(M17&lt;(M$101+2*M$102), M17&gt;(M$101-2*M$102)), M17, "")</f>
      </c>
      <c r="Z17" s="3">
        <f>IF(AND(N17&lt;(N$101+2*N$102), N17&gt;(N$101-2*N$102)), N17, "")</f>
      </c>
      <c r="AA17" s="3">
        <f>IF(AND(O17&lt;(O$101+2*O$102), O17&gt;(O$101-2*O$102)), O17, "")</f>
      </c>
      <c r="AB17" s="9">
        <f>IF(AND(P17&lt;(P$101+2*P$102), P17&gt;(P$101-2*P$102)), P17, "")</f>
      </c>
      <c r="AC17" s="3">
        <f>IF(AND(Q17&lt;(Q$101+2*Q$102), Q17&gt;(Q$101-2*Q$102)), Q17, "")</f>
      </c>
      <c r="AD17" s="3">
        <f>IF(AND(R17&lt;(R$101+2*R$102), R17&gt;(R$101-2*R$102)), R17, "")</f>
      </c>
      <c r="AE17" s="3">
        <f>IF(AND(S17&lt;(S$101+2*S$102), S17&gt;(S$101-2*S$102)), S17, "")</f>
      </c>
    </row>
    <row x14ac:dyDescent="0.25" r="18" customHeight="1" ht="18.75">
      <c r="A18" s="9">
        <v>14</v>
      </c>
      <c r="B18" s="2" t="s">
        <v>31</v>
      </c>
      <c r="C18" s="9">
        <v>5486</v>
      </c>
      <c r="D18" s="2" t="s">
        <v>15</v>
      </c>
      <c r="E18" s="2" t="s">
        <v>15</v>
      </c>
      <c r="F18" s="9">
        <v>100</v>
      </c>
      <c r="G18" s="9">
        <f>IF($E18=$D18, 1, 0)</f>
      </c>
      <c r="H18" s="3">
        <f>IF(AND($F18=0, $G18=1, $E18="[b]"), $C18,"")</f>
      </c>
      <c r="I18" s="3">
        <f>IF(AND($F18=50, $G18=1, $E18="[b]"), $C18,"")</f>
      </c>
      <c r="J18" s="3">
        <f>IF(AND($F18=100, $G18=1, $E18="[b]"), $C18,"")</f>
      </c>
      <c r="K18" s="3">
        <f>IF(AND($F18=150, $G18=1, $E18="[b]"), $C18,"")</f>
      </c>
      <c r="L18" s="3">
        <f>IF(AND($F18=0, $G18=1, $E18="[n]"), $C18,"")</f>
      </c>
      <c r="M18" s="3">
        <f>IF(AND($F18=50, $G18=1, $E18="[n]"), $C18,"")</f>
      </c>
      <c r="N18" s="9">
        <f>IF(AND($F18=100, $G18=1, $E18="[n]"), $C18,"")</f>
      </c>
      <c r="O18" s="3">
        <f>IF(AND($F18=150, $G18=1, $E18="[n]"), $C18,"")</f>
      </c>
      <c r="P18" s="3">
        <f>IF(AND($F18=0, $G18=1), $C18,"")</f>
      </c>
      <c r="Q18" s="3">
        <f>IF(AND($F18=50, $G18=1), $C18,"")</f>
      </c>
      <c r="R18" s="9">
        <f>IF(AND($F18=100, $G18=1), $C18,"")</f>
      </c>
      <c r="S18" s="3">
        <f>IF(AND($F18=150, $G18=1), $C18,"")</f>
      </c>
      <c r="T18" s="3">
        <f>IF(AND(H18&lt;(H$101+2*H$102), H18&gt;(H$101-2*H$102)), H18, "")</f>
      </c>
      <c r="U18" s="3">
        <f>IF(AND(I18&lt;(I$101+2*I$102), I18&gt;(I$101-2*I$102)), I18, "")</f>
      </c>
      <c r="V18" s="3">
        <f>IF(AND(J18&lt;(J$101+2*J$102), J18&gt;(J$101-2*J$102)), J18, "")</f>
      </c>
      <c r="W18" s="3">
        <f>IF(AND(K18&lt;(K$101+2*K$102), K18&gt;(K$101-2*K$102)), K18, "")</f>
      </c>
      <c r="X18" s="3">
        <f>IF(AND(L18&lt;(L$101+2*L$102), L18&gt;(L$101-2*L$102)), L18, "")</f>
      </c>
      <c r="Y18" s="3">
        <f>IF(AND(M18&lt;(M$101+2*M$102), M18&gt;(M$101-2*M$102)), M18, "")</f>
      </c>
      <c r="Z18" s="9">
        <f>IF(AND(N18&lt;(N$101+2*N$102), N18&gt;(N$101-2*N$102)), N18, "")</f>
      </c>
      <c r="AA18" s="3">
        <f>IF(AND(O18&lt;(O$101+2*O$102), O18&gt;(O$101-2*O$102)), O18, "")</f>
      </c>
      <c r="AB18" s="3">
        <f>IF(AND(P18&lt;(P$101+2*P$102), P18&gt;(P$101-2*P$102)), P18, "")</f>
      </c>
      <c r="AC18" s="3">
        <f>IF(AND(Q18&lt;(Q$101+2*Q$102), Q18&gt;(Q$101-2*Q$102)), Q18, "")</f>
      </c>
      <c r="AD18" s="9">
        <f>IF(AND(R18&lt;(R$101+2*R$102), R18&gt;(R$101-2*R$102)), R18, "")</f>
      </c>
      <c r="AE18" s="3">
        <f>IF(AND(S18&lt;(S$101+2*S$102), S18&gt;(S$101-2*S$102)), S18, "")</f>
      </c>
    </row>
    <row x14ac:dyDescent="0.25" r="19" customHeight="1" ht="18.75">
      <c r="A19" s="9">
        <v>15</v>
      </c>
      <c r="B19" s="2" t="s">
        <v>32</v>
      </c>
      <c r="C19" s="9">
        <v>2990</v>
      </c>
      <c r="D19" s="2" t="s">
        <v>18</v>
      </c>
      <c r="E19" s="2" t="s">
        <v>18</v>
      </c>
      <c r="F19" s="9">
        <v>100</v>
      </c>
      <c r="G19" s="9">
        <f>IF($E19=$D19, 1, 0)</f>
      </c>
      <c r="H19" s="3">
        <f>IF(AND($F19=0, $G19=1, $E19="[b]"), $C19,"")</f>
      </c>
      <c r="I19" s="3">
        <f>IF(AND($F19=50, $G19=1, $E19="[b]"), $C19,"")</f>
      </c>
      <c r="J19" s="9">
        <f>IF(AND($F19=100, $G19=1, $E19="[b]"), $C19,"")</f>
      </c>
      <c r="K19" s="3">
        <f>IF(AND($F19=150, $G19=1, $E19="[b]"), $C19,"")</f>
      </c>
      <c r="L19" s="3">
        <f>IF(AND($F19=0, $G19=1, $E19="[n]"), $C19,"")</f>
      </c>
      <c r="M19" s="3">
        <f>IF(AND($F19=50, $G19=1, $E19="[n]"), $C19,"")</f>
      </c>
      <c r="N19" s="3">
        <f>IF(AND($F19=100, $G19=1, $E19="[n]"), $C19,"")</f>
      </c>
      <c r="O19" s="3">
        <f>IF(AND($F19=150, $G19=1, $E19="[n]"), $C19,"")</f>
      </c>
      <c r="P19" s="3">
        <f>IF(AND($F19=0, $G19=1), $C19,"")</f>
      </c>
      <c r="Q19" s="3">
        <f>IF(AND($F19=50, $G19=1), $C19,"")</f>
      </c>
      <c r="R19" s="9">
        <f>IF(AND($F19=100, $G19=1), $C19,"")</f>
      </c>
      <c r="S19" s="3">
        <f>IF(AND($F19=150, $G19=1), $C19,"")</f>
      </c>
      <c r="T19" s="3">
        <f>IF(AND(H19&lt;(H$101+2*H$102), H19&gt;(H$101-2*H$102)), H19, "")</f>
      </c>
      <c r="U19" s="3">
        <f>IF(AND(I19&lt;(I$101+2*I$102), I19&gt;(I$101-2*I$102)), I19, "")</f>
      </c>
      <c r="V19" s="9">
        <f>IF(AND(J19&lt;(J$101+2*J$102), J19&gt;(J$101-2*J$102)), J19, "")</f>
      </c>
      <c r="W19" s="3">
        <f>IF(AND(K19&lt;(K$101+2*K$102), K19&gt;(K$101-2*K$102)), K19, "")</f>
      </c>
      <c r="X19" s="3">
        <f>IF(AND(L19&lt;(L$101+2*L$102), L19&gt;(L$101-2*L$102)), L19, "")</f>
      </c>
      <c r="Y19" s="3">
        <f>IF(AND(M19&lt;(M$101+2*M$102), M19&gt;(M$101-2*M$102)), M19, "")</f>
      </c>
      <c r="Z19" s="3">
        <f>IF(AND(N19&lt;(N$101+2*N$102), N19&gt;(N$101-2*N$102)), N19, "")</f>
      </c>
      <c r="AA19" s="3">
        <f>IF(AND(O19&lt;(O$101+2*O$102), O19&gt;(O$101-2*O$102)), O19, "")</f>
      </c>
      <c r="AB19" s="3">
        <f>IF(AND(P19&lt;(P$101+2*P$102), P19&gt;(P$101-2*P$102)), P19, "")</f>
      </c>
      <c r="AC19" s="3">
        <f>IF(AND(Q19&lt;(Q$101+2*Q$102), Q19&gt;(Q$101-2*Q$102)), Q19, "")</f>
      </c>
      <c r="AD19" s="9">
        <f>IF(AND(R19&lt;(R$101+2*R$102), R19&gt;(R$101-2*R$102)), R19, "")</f>
      </c>
      <c r="AE19" s="3">
        <f>IF(AND(S19&lt;(S$101+2*S$102), S19&gt;(S$101-2*S$102)), S19, "")</f>
      </c>
    </row>
    <row x14ac:dyDescent="0.25" r="20" customHeight="1" ht="18.75">
      <c r="A20" s="9">
        <v>16</v>
      </c>
      <c r="B20" s="2" t="s">
        <v>33</v>
      </c>
      <c r="C20" s="9">
        <v>2958</v>
      </c>
      <c r="D20" s="2" t="s">
        <v>18</v>
      </c>
      <c r="E20" s="2" t="s">
        <v>18</v>
      </c>
      <c r="F20" s="9">
        <v>50</v>
      </c>
      <c r="G20" s="9">
        <f>IF($E20=$D20, 1, 0)</f>
      </c>
      <c r="H20" s="3">
        <f>IF(AND($F20=0, $G20=1, $E20="[b]"), $C20,"")</f>
      </c>
      <c r="I20" s="9">
        <f>IF(AND($F20=50, $G20=1, $E20="[b]"), $C20,"")</f>
      </c>
      <c r="J20" s="3">
        <f>IF(AND($F20=100, $G20=1, $E20="[b]"), $C20,"")</f>
      </c>
      <c r="K20" s="3">
        <f>IF(AND($F20=150, $G20=1, $E20="[b]"), $C20,"")</f>
      </c>
      <c r="L20" s="3">
        <f>IF(AND($F20=0, $G20=1, $E20="[n]"), $C20,"")</f>
      </c>
      <c r="M20" s="3">
        <f>IF(AND($F20=50, $G20=1, $E20="[n]"), $C20,"")</f>
      </c>
      <c r="N20" s="3">
        <f>IF(AND($F20=100, $G20=1, $E20="[n]"), $C20,"")</f>
      </c>
      <c r="O20" s="3">
        <f>IF(AND($F20=150, $G20=1, $E20="[n]"), $C20,"")</f>
      </c>
      <c r="P20" s="3">
        <f>IF(AND($F20=0, $G20=1), $C20,"")</f>
      </c>
      <c r="Q20" s="9">
        <f>IF(AND($F20=50, $G20=1), $C20,"")</f>
      </c>
      <c r="R20" s="3">
        <f>IF(AND($F20=100, $G20=1), $C20,"")</f>
      </c>
      <c r="S20" s="3">
        <f>IF(AND($F20=150, $G20=1), $C20,"")</f>
      </c>
      <c r="T20" s="3">
        <f>IF(AND(H20&lt;(H$101+2*H$102), H20&gt;(H$101-2*H$102)), H20, "")</f>
      </c>
      <c r="U20" s="9">
        <f>IF(AND(I20&lt;(I$101+2*I$102), I20&gt;(I$101-2*I$102)), I20, "")</f>
      </c>
      <c r="V20" s="3">
        <f>IF(AND(J20&lt;(J$101+2*J$102), J20&gt;(J$101-2*J$102)), J20, "")</f>
      </c>
      <c r="W20" s="3">
        <f>IF(AND(K20&lt;(K$101+2*K$102), K20&gt;(K$101-2*K$102)), K20, "")</f>
      </c>
      <c r="X20" s="3">
        <f>IF(AND(L20&lt;(L$101+2*L$102), L20&gt;(L$101-2*L$102)), L20, "")</f>
      </c>
      <c r="Y20" s="3">
        <f>IF(AND(M20&lt;(M$101+2*M$102), M20&gt;(M$101-2*M$102)), M20, "")</f>
      </c>
      <c r="Z20" s="3">
        <f>IF(AND(N20&lt;(N$101+2*N$102), N20&gt;(N$101-2*N$102)), N20, "")</f>
      </c>
      <c r="AA20" s="3">
        <f>IF(AND(O20&lt;(O$101+2*O$102), O20&gt;(O$101-2*O$102)), O20, "")</f>
      </c>
      <c r="AB20" s="3">
        <f>IF(AND(P20&lt;(P$101+2*P$102), P20&gt;(P$101-2*P$102)), P20, "")</f>
      </c>
      <c r="AC20" s="9">
        <f>IF(AND(Q20&lt;(Q$101+2*Q$102), Q20&gt;(Q$101-2*Q$102)), Q20, "")</f>
      </c>
      <c r="AD20" s="3">
        <f>IF(AND(R20&lt;(R$101+2*R$102), R20&gt;(R$101-2*R$102)), R20, "")</f>
      </c>
      <c r="AE20" s="3">
        <f>IF(AND(S20&lt;(S$101+2*S$102), S20&gt;(S$101-2*S$102)), S20, "")</f>
      </c>
    </row>
    <row x14ac:dyDescent="0.25" r="21" customHeight="1" ht="18.75">
      <c r="A21" s="9">
        <v>17</v>
      </c>
      <c r="B21" s="2" t="s">
        <v>34</v>
      </c>
      <c r="C21" s="9">
        <v>4656</v>
      </c>
      <c r="D21" s="2" t="s">
        <v>15</v>
      </c>
      <c r="E21" s="2" t="s">
        <v>15</v>
      </c>
      <c r="F21" s="9">
        <v>100</v>
      </c>
      <c r="G21" s="9">
        <f>IF($E21=$D21, 1, 0)</f>
      </c>
      <c r="H21" s="3">
        <f>IF(AND($F21=0, $G21=1, $E21="[b]"), $C21,"")</f>
      </c>
      <c r="I21" s="3">
        <f>IF(AND($F21=50, $G21=1, $E21="[b]"), $C21,"")</f>
      </c>
      <c r="J21" s="3">
        <f>IF(AND($F21=100, $G21=1, $E21="[b]"), $C21,"")</f>
      </c>
      <c r="K21" s="3">
        <f>IF(AND($F21=150, $G21=1, $E21="[b]"), $C21,"")</f>
      </c>
      <c r="L21" s="3">
        <f>IF(AND($F21=0, $G21=1, $E21="[n]"), $C21,"")</f>
      </c>
      <c r="M21" s="3">
        <f>IF(AND($F21=50, $G21=1, $E21="[n]"), $C21,"")</f>
      </c>
      <c r="N21" s="9">
        <f>IF(AND($F21=100, $G21=1, $E21="[n]"), $C21,"")</f>
      </c>
      <c r="O21" s="3">
        <f>IF(AND($F21=150, $G21=1, $E21="[n]"), $C21,"")</f>
      </c>
      <c r="P21" s="3">
        <f>IF(AND($F21=0, $G21=1), $C21,"")</f>
      </c>
      <c r="Q21" s="3">
        <f>IF(AND($F21=50, $G21=1), $C21,"")</f>
      </c>
      <c r="R21" s="9">
        <f>IF(AND($F21=100, $G21=1), $C21,"")</f>
      </c>
      <c r="S21" s="3">
        <f>IF(AND($F21=150, $G21=1), $C21,"")</f>
      </c>
      <c r="T21" s="3">
        <f>IF(AND(H21&lt;(H$101+2*H$102), H21&gt;(H$101-2*H$102)), H21, "")</f>
      </c>
      <c r="U21" s="3">
        <f>IF(AND(I21&lt;(I$101+2*I$102), I21&gt;(I$101-2*I$102)), I21, "")</f>
      </c>
      <c r="V21" s="3">
        <f>IF(AND(J21&lt;(J$101+2*J$102), J21&gt;(J$101-2*J$102)), J21, "")</f>
      </c>
      <c r="W21" s="3">
        <f>IF(AND(K21&lt;(K$101+2*K$102), K21&gt;(K$101-2*K$102)), K21, "")</f>
      </c>
      <c r="X21" s="3">
        <f>IF(AND(L21&lt;(L$101+2*L$102), L21&gt;(L$101-2*L$102)), L21, "")</f>
      </c>
      <c r="Y21" s="3">
        <f>IF(AND(M21&lt;(M$101+2*M$102), M21&gt;(M$101-2*M$102)), M21, "")</f>
      </c>
      <c r="Z21" s="9">
        <f>IF(AND(N21&lt;(N$101+2*N$102), N21&gt;(N$101-2*N$102)), N21, "")</f>
      </c>
      <c r="AA21" s="3">
        <f>IF(AND(O21&lt;(O$101+2*O$102), O21&gt;(O$101-2*O$102)), O21, "")</f>
      </c>
      <c r="AB21" s="3">
        <f>IF(AND(P21&lt;(P$101+2*P$102), P21&gt;(P$101-2*P$102)), P21, "")</f>
      </c>
      <c r="AC21" s="3">
        <f>IF(AND(Q21&lt;(Q$101+2*Q$102), Q21&gt;(Q$101-2*Q$102)), Q21, "")</f>
      </c>
      <c r="AD21" s="9">
        <f>IF(AND(R21&lt;(R$101+2*R$102), R21&gt;(R$101-2*R$102)), R21, "")</f>
      </c>
      <c r="AE21" s="3">
        <f>IF(AND(S21&lt;(S$101+2*S$102), S21&gt;(S$101-2*S$102)), S21, "")</f>
      </c>
    </row>
    <row x14ac:dyDescent="0.25" r="22" customHeight="1" ht="18.75">
      <c r="A22" s="9">
        <v>18</v>
      </c>
      <c r="B22" s="2" t="s">
        <v>35</v>
      </c>
      <c r="C22" s="9">
        <v>3154</v>
      </c>
      <c r="D22" s="2" t="s">
        <v>18</v>
      </c>
      <c r="E22" s="2" t="s">
        <v>18</v>
      </c>
      <c r="F22" s="9">
        <v>150</v>
      </c>
      <c r="G22" s="9">
        <f>IF($E22=$D22, 1, 0)</f>
      </c>
      <c r="H22" s="3">
        <f>IF(AND($F22=0, $G22=1, $E22="[b]"), $C22,"")</f>
      </c>
      <c r="I22" s="3">
        <f>IF(AND($F22=50, $G22=1, $E22="[b]"), $C22,"")</f>
      </c>
      <c r="J22" s="3">
        <f>IF(AND($F22=100, $G22=1, $E22="[b]"), $C22,"")</f>
      </c>
      <c r="K22" s="9">
        <f>IF(AND($F22=150, $G22=1, $E22="[b]"), $C22,"")</f>
      </c>
      <c r="L22" s="3">
        <f>IF(AND($F22=0, $G22=1, $E22="[n]"), $C22,"")</f>
      </c>
      <c r="M22" s="3">
        <f>IF(AND($F22=50, $G22=1, $E22="[n]"), $C22,"")</f>
      </c>
      <c r="N22" s="3">
        <f>IF(AND($F22=100, $G22=1, $E22="[n]"), $C22,"")</f>
      </c>
      <c r="O22" s="3">
        <f>IF(AND($F22=150, $G22=1, $E22="[n]"), $C22,"")</f>
      </c>
      <c r="P22" s="3">
        <f>IF(AND($F22=0, $G22=1), $C22,"")</f>
      </c>
      <c r="Q22" s="3">
        <f>IF(AND($F22=50, $G22=1), $C22,"")</f>
      </c>
      <c r="R22" s="3">
        <f>IF(AND($F22=100, $G22=1), $C22,"")</f>
      </c>
      <c r="S22" s="9">
        <f>IF(AND($F22=150, $G22=1), $C22,"")</f>
      </c>
      <c r="T22" s="3">
        <f>IF(AND(H22&lt;(H$101+2*H$102), H22&gt;(H$101-2*H$102)), H22, "")</f>
      </c>
      <c r="U22" s="3">
        <f>IF(AND(I22&lt;(I$101+2*I$102), I22&gt;(I$101-2*I$102)), I22, "")</f>
      </c>
      <c r="V22" s="3">
        <f>IF(AND(J22&lt;(J$101+2*J$102), J22&gt;(J$101-2*J$102)), J22, "")</f>
      </c>
      <c r="W22" s="9">
        <f>IF(AND(K22&lt;(K$101+2*K$102), K22&gt;(K$101-2*K$102)), K22, "")</f>
      </c>
      <c r="X22" s="3">
        <f>IF(AND(L22&lt;(L$101+2*L$102), L22&gt;(L$101-2*L$102)), L22, "")</f>
      </c>
      <c r="Y22" s="3">
        <f>IF(AND(M22&lt;(M$101+2*M$102), M22&gt;(M$101-2*M$102)), M22, "")</f>
      </c>
      <c r="Z22" s="3">
        <f>IF(AND(N22&lt;(N$101+2*N$102), N22&gt;(N$101-2*N$102)), N22, "")</f>
      </c>
      <c r="AA22" s="3">
        <f>IF(AND(O22&lt;(O$101+2*O$102), O22&gt;(O$101-2*O$102)), O22, "")</f>
      </c>
      <c r="AB22" s="3">
        <f>IF(AND(P22&lt;(P$101+2*P$102), P22&gt;(P$101-2*P$102)), P22, "")</f>
      </c>
      <c r="AC22" s="3">
        <f>IF(AND(Q22&lt;(Q$101+2*Q$102), Q22&gt;(Q$101-2*Q$102)), Q22, "")</f>
      </c>
      <c r="AD22" s="3">
        <f>IF(AND(R22&lt;(R$101+2*R$102), R22&gt;(R$101-2*R$102)), R22, "")</f>
      </c>
      <c r="AE22" s="9">
        <f>IF(AND(S22&lt;(S$101+2*S$102), S22&gt;(S$101-2*S$102)), S22, "")</f>
      </c>
    </row>
    <row x14ac:dyDescent="0.25" r="23" customHeight="1" ht="18.75">
      <c r="A23" s="9">
        <v>19</v>
      </c>
      <c r="B23" s="2" t="s">
        <v>36</v>
      </c>
      <c r="C23" s="9">
        <v>2259</v>
      </c>
      <c r="D23" s="2" t="s">
        <v>15</v>
      </c>
      <c r="E23" s="2" t="s">
        <v>15</v>
      </c>
      <c r="F23" s="9">
        <v>50</v>
      </c>
      <c r="G23" s="9">
        <f>IF($E23=$D23, 1, 0)</f>
      </c>
      <c r="H23" s="3">
        <f>IF(AND($F23=0, $G23=1, $E23="[b]"), $C23,"")</f>
      </c>
      <c r="I23" s="3">
        <f>IF(AND($F23=50, $G23=1, $E23="[b]"), $C23,"")</f>
      </c>
      <c r="J23" s="3">
        <f>IF(AND($F23=100, $G23=1, $E23="[b]"), $C23,"")</f>
      </c>
      <c r="K23" s="3">
        <f>IF(AND($F23=150, $G23=1, $E23="[b]"), $C23,"")</f>
      </c>
      <c r="L23" s="3">
        <f>IF(AND($F23=0, $G23=1, $E23="[n]"), $C23,"")</f>
      </c>
      <c r="M23" s="9">
        <f>IF(AND($F23=50, $G23=1, $E23="[n]"), $C23,"")</f>
      </c>
      <c r="N23" s="3">
        <f>IF(AND($F23=100, $G23=1, $E23="[n]"), $C23,"")</f>
      </c>
      <c r="O23" s="3">
        <f>IF(AND($F23=150, $G23=1, $E23="[n]"), $C23,"")</f>
      </c>
      <c r="P23" s="3">
        <f>IF(AND($F23=0, $G23=1), $C23,"")</f>
      </c>
      <c r="Q23" s="9">
        <f>IF(AND($F23=50, $G23=1), $C23,"")</f>
      </c>
      <c r="R23" s="3">
        <f>IF(AND($F23=100, $G23=1), $C23,"")</f>
      </c>
      <c r="S23" s="3">
        <f>IF(AND($F23=150, $G23=1), $C23,"")</f>
      </c>
      <c r="T23" s="3">
        <f>IF(AND(H23&lt;(H$101+2*H$102), H23&gt;(H$101-2*H$102)), H23, "")</f>
      </c>
      <c r="U23" s="3">
        <f>IF(AND(I23&lt;(I$101+2*I$102), I23&gt;(I$101-2*I$102)), I23, "")</f>
      </c>
      <c r="V23" s="3">
        <f>IF(AND(J23&lt;(J$101+2*J$102), J23&gt;(J$101-2*J$102)), J23, "")</f>
      </c>
      <c r="W23" s="3">
        <f>IF(AND(K23&lt;(K$101+2*K$102), K23&gt;(K$101-2*K$102)), K23, "")</f>
      </c>
      <c r="X23" s="3">
        <f>IF(AND(L23&lt;(L$101+2*L$102), L23&gt;(L$101-2*L$102)), L23, "")</f>
      </c>
      <c r="Y23" s="9">
        <f>IF(AND(M23&lt;(M$101+2*M$102), M23&gt;(M$101-2*M$102)), M23, "")</f>
      </c>
      <c r="Z23" s="3">
        <f>IF(AND(N23&lt;(N$101+2*N$102), N23&gt;(N$101-2*N$102)), N23, "")</f>
      </c>
      <c r="AA23" s="3">
        <f>IF(AND(O23&lt;(O$101+2*O$102), O23&gt;(O$101-2*O$102)), O23, "")</f>
      </c>
      <c r="AB23" s="3">
        <f>IF(AND(P23&lt;(P$101+2*P$102), P23&gt;(P$101-2*P$102)), P23, "")</f>
      </c>
      <c r="AC23" s="9">
        <f>IF(AND(Q23&lt;(Q$101+2*Q$102), Q23&gt;(Q$101-2*Q$102)), Q23, "")</f>
      </c>
      <c r="AD23" s="3">
        <f>IF(AND(R23&lt;(R$101+2*R$102), R23&gt;(R$101-2*R$102)), R23, "")</f>
      </c>
      <c r="AE23" s="3">
        <f>IF(AND(S23&lt;(S$101+2*S$102), S23&gt;(S$101-2*S$102)), S23, "")</f>
      </c>
    </row>
    <row x14ac:dyDescent="0.25" r="24" customHeight="1" ht="18.75">
      <c r="A24" s="9">
        <v>20</v>
      </c>
      <c r="B24" s="2" t="s">
        <v>37</v>
      </c>
      <c r="C24" s="9">
        <v>2224</v>
      </c>
      <c r="D24" s="2" t="s">
        <v>18</v>
      </c>
      <c r="E24" s="2" t="s">
        <v>18</v>
      </c>
      <c r="F24" s="9">
        <v>50</v>
      </c>
      <c r="G24" s="9">
        <f>IF($E24=$D24, 1, 0)</f>
      </c>
      <c r="H24" s="3">
        <f>IF(AND($F24=0, $G24=1, $E24="[b]"), $C24,"")</f>
      </c>
      <c r="I24" s="9">
        <f>IF(AND($F24=50, $G24=1, $E24="[b]"), $C24,"")</f>
      </c>
      <c r="J24" s="3">
        <f>IF(AND($F24=100, $G24=1, $E24="[b]"), $C24,"")</f>
      </c>
      <c r="K24" s="3">
        <f>IF(AND($F24=150, $G24=1, $E24="[b]"), $C24,"")</f>
      </c>
      <c r="L24" s="3">
        <f>IF(AND($F24=0, $G24=1, $E24="[n]"), $C24,"")</f>
      </c>
      <c r="M24" s="3">
        <f>IF(AND($F24=50, $G24=1, $E24="[n]"), $C24,"")</f>
      </c>
      <c r="N24" s="3">
        <f>IF(AND($F24=100, $G24=1, $E24="[n]"), $C24,"")</f>
      </c>
      <c r="O24" s="3">
        <f>IF(AND($F24=150, $G24=1, $E24="[n]"), $C24,"")</f>
      </c>
      <c r="P24" s="3">
        <f>IF(AND($F24=0, $G24=1), $C24,"")</f>
      </c>
      <c r="Q24" s="9">
        <f>IF(AND($F24=50, $G24=1), $C24,"")</f>
      </c>
      <c r="R24" s="3">
        <f>IF(AND($F24=100, $G24=1), $C24,"")</f>
      </c>
      <c r="S24" s="3">
        <f>IF(AND($F24=150, $G24=1), $C24,"")</f>
      </c>
      <c r="T24" s="3">
        <f>IF(AND(H24&lt;(H$101+2*H$102), H24&gt;(H$101-2*H$102)), H24, "")</f>
      </c>
      <c r="U24" s="9">
        <f>IF(AND(I24&lt;(I$101+2*I$102), I24&gt;(I$101-2*I$102)), I24, "")</f>
      </c>
      <c r="V24" s="3">
        <f>IF(AND(J24&lt;(J$101+2*J$102), J24&gt;(J$101-2*J$102)), J24, "")</f>
      </c>
      <c r="W24" s="3">
        <f>IF(AND(K24&lt;(K$101+2*K$102), K24&gt;(K$101-2*K$102)), K24, "")</f>
      </c>
      <c r="X24" s="3">
        <f>IF(AND(L24&lt;(L$101+2*L$102), L24&gt;(L$101-2*L$102)), L24, "")</f>
      </c>
      <c r="Y24" s="3">
        <f>IF(AND(M24&lt;(M$101+2*M$102), M24&gt;(M$101-2*M$102)), M24, "")</f>
      </c>
      <c r="Z24" s="3">
        <f>IF(AND(N24&lt;(N$101+2*N$102), N24&gt;(N$101-2*N$102)), N24, "")</f>
      </c>
      <c r="AA24" s="3">
        <f>IF(AND(O24&lt;(O$101+2*O$102), O24&gt;(O$101-2*O$102)), O24, "")</f>
      </c>
      <c r="AB24" s="3">
        <f>IF(AND(P24&lt;(P$101+2*P$102), P24&gt;(P$101-2*P$102)), P24, "")</f>
      </c>
      <c r="AC24" s="9">
        <f>IF(AND(Q24&lt;(Q$101+2*Q$102), Q24&gt;(Q$101-2*Q$102)), Q24, "")</f>
      </c>
      <c r="AD24" s="3">
        <f>IF(AND(R24&lt;(R$101+2*R$102), R24&gt;(R$101-2*R$102)), R24, "")</f>
      </c>
      <c r="AE24" s="3">
        <f>IF(AND(S24&lt;(S$101+2*S$102), S24&gt;(S$101-2*S$102)), S24, "")</f>
      </c>
    </row>
    <row x14ac:dyDescent="0.25" r="25" customHeight="1" ht="18.75">
      <c r="A25" s="9">
        <v>21</v>
      </c>
      <c r="B25" s="2" t="s">
        <v>38</v>
      </c>
      <c r="C25" s="9">
        <v>2463</v>
      </c>
      <c r="D25" s="2" t="s">
        <v>15</v>
      </c>
      <c r="E25" s="2" t="s">
        <v>15</v>
      </c>
      <c r="F25" s="9">
        <v>100</v>
      </c>
      <c r="G25" s="9">
        <f>IF($E25=$D25, 1, 0)</f>
      </c>
      <c r="H25" s="3">
        <f>IF(AND($F25=0, $G25=1, $E25="[b]"), $C25,"")</f>
      </c>
      <c r="I25" s="3">
        <f>IF(AND($F25=50, $G25=1, $E25="[b]"), $C25,"")</f>
      </c>
      <c r="J25" s="3">
        <f>IF(AND($F25=100, $G25=1, $E25="[b]"), $C25,"")</f>
      </c>
      <c r="K25" s="3">
        <f>IF(AND($F25=150, $G25=1, $E25="[b]"), $C25,"")</f>
      </c>
      <c r="L25" s="3">
        <f>IF(AND($F25=0, $G25=1, $E25="[n]"), $C25,"")</f>
      </c>
      <c r="M25" s="3">
        <f>IF(AND($F25=50, $G25=1, $E25="[n]"), $C25,"")</f>
      </c>
      <c r="N25" s="9">
        <f>IF(AND($F25=100, $G25=1, $E25="[n]"), $C25,"")</f>
      </c>
      <c r="O25" s="3">
        <f>IF(AND($F25=150, $G25=1, $E25="[n]"), $C25,"")</f>
      </c>
      <c r="P25" s="3">
        <f>IF(AND($F25=0, $G25=1), $C25,"")</f>
      </c>
      <c r="Q25" s="3">
        <f>IF(AND($F25=50, $G25=1), $C25,"")</f>
      </c>
      <c r="R25" s="9">
        <f>IF(AND($F25=100, $G25=1), $C25,"")</f>
      </c>
      <c r="S25" s="3">
        <f>IF(AND($F25=150, $G25=1), $C25,"")</f>
      </c>
      <c r="T25" s="3">
        <f>IF(AND(H25&lt;(H$101+2*H$102), H25&gt;(H$101-2*H$102)), H25, "")</f>
      </c>
      <c r="U25" s="3">
        <f>IF(AND(I25&lt;(I$101+2*I$102), I25&gt;(I$101-2*I$102)), I25, "")</f>
      </c>
      <c r="V25" s="3">
        <f>IF(AND(J25&lt;(J$101+2*J$102), J25&gt;(J$101-2*J$102)), J25, "")</f>
      </c>
      <c r="W25" s="3">
        <f>IF(AND(K25&lt;(K$101+2*K$102), K25&gt;(K$101-2*K$102)), K25, "")</f>
      </c>
      <c r="X25" s="3">
        <f>IF(AND(L25&lt;(L$101+2*L$102), L25&gt;(L$101-2*L$102)), L25, "")</f>
      </c>
      <c r="Y25" s="3">
        <f>IF(AND(M25&lt;(M$101+2*M$102), M25&gt;(M$101-2*M$102)), M25, "")</f>
      </c>
      <c r="Z25" s="9">
        <f>IF(AND(N25&lt;(N$101+2*N$102), N25&gt;(N$101-2*N$102)), N25, "")</f>
      </c>
      <c r="AA25" s="3">
        <f>IF(AND(O25&lt;(O$101+2*O$102), O25&gt;(O$101-2*O$102)), O25, "")</f>
      </c>
      <c r="AB25" s="3">
        <f>IF(AND(P25&lt;(P$101+2*P$102), P25&gt;(P$101-2*P$102)), P25, "")</f>
      </c>
      <c r="AC25" s="3">
        <f>IF(AND(Q25&lt;(Q$101+2*Q$102), Q25&gt;(Q$101-2*Q$102)), Q25, "")</f>
      </c>
      <c r="AD25" s="9">
        <f>IF(AND(R25&lt;(R$101+2*R$102), R25&gt;(R$101-2*R$102)), R25, "")</f>
      </c>
      <c r="AE25" s="3">
        <f>IF(AND(S25&lt;(S$101+2*S$102), S25&gt;(S$101-2*S$102)), S25, "")</f>
      </c>
    </row>
    <row x14ac:dyDescent="0.25" r="26" customHeight="1" ht="18.75">
      <c r="A26" s="9">
        <v>22</v>
      </c>
      <c r="B26" s="2" t="s">
        <v>39</v>
      </c>
      <c r="C26" s="9">
        <v>1558</v>
      </c>
      <c r="D26" s="2" t="s">
        <v>15</v>
      </c>
      <c r="E26" s="2" t="s">
        <v>15</v>
      </c>
      <c r="F26" s="9">
        <v>0</v>
      </c>
      <c r="G26" s="9">
        <f>IF($E26=$D26, 1, 0)</f>
      </c>
      <c r="H26" s="3">
        <f>IF(AND($F26=0, $G26=1, $E26="[b]"), $C26,"")</f>
      </c>
      <c r="I26" s="3">
        <f>IF(AND($F26=50, $G26=1, $E26="[b]"), $C26,"")</f>
      </c>
      <c r="J26" s="3">
        <f>IF(AND($F26=100, $G26=1, $E26="[b]"), $C26,"")</f>
      </c>
      <c r="K26" s="3">
        <f>IF(AND($F26=150, $G26=1, $E26="[b]"), $C26,"")</f>
      </c>
      <c r="L26" s="9">
        <f>IF(AND($F26=0, $G26=1, $E26="[n]"), $C26,"")</f>
      </c>
      <c r="M26" s="3">
        <f>IF(AND($F26=50, $G26=1, $E26="[n]"), $C26,"")</f>
      </c>
      <c r="N26" s="3">
        <f>IF(AND($F26=100, $G26=1, $E26="[n]"), $C26,"")</f>
      </c>
      <c r="O26" s="3">
        <f>IF(AND($F26=150, $G26=1, $E26="[n]"), $C26,"")</f>
      </c>
      <c r="P26" s="9">
        <f>IF(AND($F26=0, $G26=1), $C26,"")</f>
      </c>
      <c r="Q26" s="3">
        <f>IF(AND($F26=50, $G26=1), $C26,"")</f>
      </c>
      <c r="R26" s="3">
        <f>IF(AND($F26=100, $G26=1), $C26,"")</f>
      </c>
      <c r="S26" s="3">
        <f>IF(AND($F26=150, $G26=1), $C26,"")</f>
      </c>
      <c r="T26" s="3">
        <f>IF(AND(H26&lt;(H$101+2*H$102), H26&gt;(H$101-2*H$102)), H26, "")</f>
      </c>
      <c r="U26" s="3">
        <f>IF(AND(I26&lt;(I$101+2*I$102), I26&gt;(I$101-2*I$102)), I26, "")</f>
      </c>
      <c r="V26" s="3">
        <f>IF(AND(J26&lt;(J$101+2*J$102), J26&gt;(J$101-2*J$102)), J26, "")</f>
      </c>
      <c r="W26" s="3">
        <f>IF(AND(K26&lt;(K$101+2*K$102), K26&gt;(K$101-2*K$102)), K26, "")</f>
      </c>
      <c r="X26" s="9">
        <f>IF(AND(L26&lt;(L$101+2*L$102), L26&gt;(L$101-2*L$102)), L26, "")</f>
      </c>
      <c r="Y26" s="3">
        <f>IF(AND(M26&lt;(M$101+2*M$102), M26&gt;(M$101-2*M$102)), M26, "")</f>
      </c>
      <c r="Z26" s="3">
        <f>IF(AND(N26&lt;(N$101+2*N$102), N26&gt;(N$101-2*N$102)), N26, "")</f>
      </c>
      <c r="AA26" s="3">
        <f>IF(AND(O26&lt;(O$101+2*O$102), O26&gt;(O$101-2*O$102)), O26, "")</f>
      </c>
      <c r="AB26" s="9">
        <f>IF(AND(P26&lt;(P$101+2*P$102), P26&gt;(P$101-2*P$102)), P26, "")</f>
      </c>
      <c r="AC26" s="3">
        <f>IF(AND(Q26&lt;(Q$101+2*Q$102), Q26&gt;(Q$101-2*Q$102)), Q26, "")</f>
      </c>
      <c r="AD26" s="3">
        <f>IF(AND(R26&lt;(R$101+2*R$102), R26&gt;(R$101-2*R$102)), R26, "")</f>
      </c>
      <c r="AE26" s="3">
        <f>IF(AND(S26&lt;(S$101+2*S$102), S26&gt;(S$101-2*S$102)), S26, "")</f>
      </c>
    </row>
    <row x14ac:dyDescent="0.25" r="27" customHeight="1" ht="18.75">
      <c r="A27" s="9">
        <v>23</v>
      </c>
      <c r="B27" s="2" t="s">
        <v>40</v>
      </c>
      <c r="C27" s="9">
        <v>1890</v>
      </c>
      <c r="D27" s="2" t="s">
        <v>18</v>
      </c>
      <c r="E27" s="2" t="s">
        <v>18</v>
      </c>
      <c r="F27" s="9">
        <v>0</v>
      </c>
      <c r="G27" s="9">
        <f>IF($E27=$D27, 1, 0)</f>
      </c>
      <c r="H27" s="9">
        <f>IF(AND($F27=0, $G27=1, $E27="[b]"), $C27,"")</f>
      </c>
      <c r="I27" s="3">
        <f>IF(AND($F27=50, $G27=1, $E27="[b]"), $C27,"")</f>
      </c>
      <c r="J27" s="3">
        <f>IF(AND($F27=100, $G27=1, $E27="[b]"), $C27,"")</f>
      </c>
      <c r="K27" s="3">
        <f>IF(AND($F27=150, $G27=1, $E27="[b]"), $C27,"")</f>
      </c>
      <c r="L27" s="3">
        <f>IF(AND($F27=0, $G27=1, $E27="[n]"), $C27,"")</f>
      </c>
      <c r="M27" s="3">
        <f>IF(AND($F27=50, $G27=1, $E27="[n]"), $C27,"")</f>
      </c>
      <c r="N27" s="3">
        <f>IF(AND($F27=100, $G27=1, $E27="[n]"), $C27,"")</f>
      </c>
      <c r="O27" s="3">
        <f>IF(AND($F27=150, $G27=1, $E27="[n]"), $C27,"")</f>
      </c>
      <c r="P27" s="9">
        <f>IF(AND($F27=0, $G27=1), $C27,"")</f>
      </c>
      <c r="Q27" s="3">
        <f>IF(AND($F27=50, $G27=1), $C27,"")</f>
      </c>
      <c r="R27" s="3">
        <f>IF(AND($F27=100, $G27=1), $C27,"")</f>
      </c>
      <c r="S27" s="3">
        <f>IF(AND($F27=150, $G27=1), $C27,"")</f>
      </c>
      <c r="T27" s="9">
        <f>IF(AND(H27&lt;(H$101+2*H$102), H27&gt;(H$101-2*H$102)), H27, "")</f>
      </c>
      <c r="U27" s="3">
        <f>IF(AND(I27&lt;(I$101+2*I$102), I27&gt;(I$101-2*I$102)), I27, "")</f>
      </c>
      <c r="V27" s="3">
        <f>IF(AND(J27&lt;(J$101+2*J$102), J27&gt;(J$101-2*J$102)), J27, "")</f>
      </c>
      <c r="W27" s="3">
        <f>IF(AND(K27&lt;(K$101+2*K$102), K27&gt;(K$101-2*K$102)), K27, "")</f>
      </c>
      <c r="X27" s="3">
        <f>IF(AND(L27&lt;(L$101+2*L$102), L27&gt;(L$101-2*L$102)), L27, "")</f>
      </c>
      <c r="Y27" s="3">
        <f>IF(AND(M27&lt;(M$101+2*M$102), M27&gt;(M$101-2*M$102)), M27, "")</f>
      </c>
      <c r="Z27" s="3">
        <f>IF(AND(N27&lt;(N$101+2*N$102), N27&gt;(N$101-2*N$102)), N27, "")</f>
      </c>
      <c r="AA27" s="3">
        <f>IF(AND(O27&lt;(O$101+2*O$102), O27&gt;(O$101-2*O$102)), O27, "")</f>
      </c>
      <c r="AB27" s="9">
        <f>IF(AND(P27&lt;(P$101+2*P$102), P27&gt;(P$101-2*P$102)), P27, "")</f>
      </c>
      <c r="AC27" s="3">
        <f>IF(AND(Q27&lt;(Q$101+2*Q$102), Q27&gt;(Q$101-2*Q$102)), Q27, "")</f>
      </c>
      <c r="AD27" s="3">
        <f>IF(AND(R27&lt;(R$101+2*R$102), R27&gt;(R$101-2*R$102)), R27, "")</f>
      </c>
      <c r="AE27" s="3">
        <f>IF(AND(S27&lt;(S$101+2*S$102), S27&gt;(S$101-2*S$102)), S27, "")</f>
      </c>
    </row>
    <row x14ac:dyDescent="0.25" r="28" customHeight="1" ht="18.75">
      <c r="A28" s="9">
        <v>24</v>
      </c>
      <c r="B28" s="2" t="s">
        <v>41</v>
      </c>
      <c r="C28" s="9">
        <v>3482</v>
      </c>
      <c r="D28" s="2" t="s">
        <v>15</v>
      </c>
      <c r="E28" s="2" t="s">
        <v>15</v>
      </c>
      <c r="F28" s="9">
        <v>150</v>
      </c>
      <c r="G28" s="9">
        <f>IF($E28=$D28, 1, 0)</f>
      </c>
      <c r="H28" s="3">
        <f>IF(AND($F28=0, $G28=1, $E28="[b]"), $C28,"")</f>
      </c>
      <c r="I28" s="3">
        <f>IF(AND($F28=50, $G28=1, $E28="[b]"), $C28,"")</f>
      </c>
      <c r="J28" s="3">
        <f>IF(AND($F28=100, $G28=1, $E28="[b]"), $C28,"")</f>
      </c>
      <c r="K28" s="3">
        <f>IF(AND($F28=150, $G28=1, $E28="[b]"), $C28,"")</f>
      </c>
      <c r="L28" s="3">
        <f>IF(AND($F28=0, $G28=1, $E28="[n]"), $C28,"")</f>
      </c>
      <c r="M28" s="3">
        <f>IF(AND($F28=50, $G28=1, $E28="[n]"), $C28,"")</f>
      </c>
      <c r="N28" s="3">
        <f>IF(AND($F28=100, $G28=1, $E28="[n]"), $C28,"")</f>
      </c>
      <c r="O28" s="9">
        <f>IF(AND($F28=150, $G28=1, $E28="[n]"), $C28,"")</f>
      </c>
      <c r="P28" s="3">
        <f>IF(AND($F28=0, $G28=1), $C28,"")</f>
      </c>
      <c r="Q28" s="3">
        <f>IF(AND($F28=50, $G28=1), $C28,"")</f>
      </c>
      <c r="R28" s="3">
        <f>IF(AND($F28=100, $G28=1), $C28,"")</f>
      </c>
      <c r="S28" s="9">
        <f>IF(AND($F28=150, $G28=1), $C28,"")</f>
      </c>
      <c r="T28" s="3">
        <f>IF(AND(H28&lt;(H$101+2*H$102), H28&gt;(H$101-2*H$102)), H28, "")</f>
      </c>
      <c r="U28" s="3">
        <f>IF(AND(I28&lt;(I$101+2*I$102), I28&gt;(I$101-2*I$102)), I28, "")</f>
      </c>
      <c r="V28" s="3">
        <f>IF(AND(J28&lt;(J$101+2*J$102), J28&gt;(J$101-2*J$102)), J28, "")</f>
      </c>
      <c r="W28" s="3">
        <f>IF(AND(K28&lt;(K$101+2*K$102), K28&gt;(K$101-2*K$102)), K28, "")</f>
      </c>
      <c r="X28" s="3">
        <f>IF(AND(L28&lt;(L$101+2*L$102), L28&gt;(L$101-2*L$102)), L28, "")</f>
      </c>
      <c r="Y28" s="3">
        <f>IF(AND(M28&lt;(M$101+2*M$102), M28&gt;(M$101-2*M$102)), M28, "")</f>
      </c>
      <c r="Z28" s="3">
        <f>IF(AND(N28&lt;(N$101+2*N$102), N28&gt;(N$101-2*N$102)), N28, "")</f>
      </c>
      <c r="AA28" s="9">
        <f>IF(AND(O28&lt;(O$101+2*O$102), O28&gt;(O$101-2*O$102)), O28, "")</f>
      </c>
      <c r="AB28" s="3">
        <f>IF(AND(P28&lt;(P$101+2*P$102), P28&gt;(P$101-2*P$102)), P28, "")</f>
      </c>
      <c r="AC28" s="3">
        <f>IF(AND(Q28&lt;(Q$101+2*Q$102), Q28&gt;(Q$101-2*Q$102)), Q28, "")</f>
      </c>
      <c r="AD28" s="3">
        <f>IF(AND(R28&lt;(R$101+2*R$102), R28&gt;(R$101-2*R$102)), R28, "")</f>
      </c>
      <c r="AE28" s="9">
        <f>IF(AND(S28&lt;(S$101+2*S$102), S28&gt;(S$101-2*S$102)), S28, "")</f>
      </c>
    </row>
    <row x14ac:dyDescent="0.25" r="29" customHeight="1" ht="18.75">
      <c r="A29" s="9">
        <v>25</v>
      </c>
      <c r="B29" s="2" t="s">
        <v>42</v>
      </c>
      <c r="C29" s="9">
        <v>3630</v>
      </c>
      <c r="D29" s="2" t="s">
        <v>15</v>
      </c>
      <c r="E29" s="2" t="s">
        <v>15</v>
      </c>
      <c r="F29" s="9">
        <v>150</v>
      </c>
      <c r="G29" s="9">
        <f>IF($E29=$D29, 1, 0)</f>
      </c>
      <c r="H29" s="3">
        <f>IF(AND($F29=0, $G29=1, $E29="[b]"), $C29,"")</f>
      </c>
      <c r="I29" s="3">
        <f>IF(AND($F29=50, $G29=1, $E29="[b]"), $C29,"")</f>
      </c>
      <c r="J29" s="3">
        <f>IF(AND($F29=100, $G29=1, $E29="[b]"), $C29,"")</f>
      </c>
      <c r="K29" s="3">
        <f>IF(AND($F29=150, $G29=1, $E29="[b]"), $C29,"")</f>
      </c>
      <c r="L29" s="3">
        <f>IF(AND($F29=0, $G29=1, $E29="[n]"), $C29,"")</f>
      </c>
      <c r="M29" s="3">
        <f>IF(AND($F29=50, $G29=1, $E29="[n]"), $C29,"")</f>
      </c>
      <c r="N29" s="3">
        <f>IF(AND($F29=100, $G29=1, $E29="[n]"), $C29,"")</f>
      </c>
      <c r="O29" s="9">
        <f>IF(AND($F29=150, $G29=1, $E29="[n]"), $C29,"")</f>
      </c>
      <c r="P29" s="3">
        <f>IF(AND($F29=0, $G29=1), $C29,"")</f>
      </c>
      <c r="Q29" s="3">
        <f>IF(AND($F29=50, $G29=1), $C29,"")</f>
      </c>
      <c r="R29" s="3">
        <f>IF(AND($F29=100, $G29=1), $C29,"")</f>
      </c>
      <c r="S29" s="9">
        <f>IF(AND($F29=150, $G29=1), $C29,"")</f>
      </c>
      <c r="T29" s="3">
        <f>IF(AND(H29&lt;(H$101+2*H$102), H29&gt;(H$101-2*H$102)), H29, "")</f>
      </c>
      <c r="U29" s="3">
        <f>IF(AND(I29&lt;(I$101+2*I$102), I29&gt;(I$101-2*I$102)), I29, "")</f>
      </c>
      <c r="V29" s="3">
        <f>IF(AND(J29&lt;(J$101+2*J$102), J29&gt;(J$101-2*J$102)), J29, "")</f>
      </c>
      <c r="W29" s="3">
        <f>IF(AND(K29&lt;(K$101+2*K$102), K29&gt;(K$101-2*K$102)), K29, "")</f>
      </c>
      <c r="X29" s="3">
        <f>IF(AND(L29&lt;(L$101+2*L$102), L29&gt;(L$101-2*L$102)), L29, "")</f>
      </c>
      <c r="Y29" s="3">
        <f>IF(AND(M29&lt;(M$101+2*M$102), M29&gt;(M$101-2*M$102)), M29, "")</f>
      </c>
      <c r="Z29" s="3">
        <f>IF(AND(N29&lt;(N$101+2*N$102), N29&gt;(N$101-2*N$102)), N29, "")</f>
      </c>
      <c r="AA29" s="9">
        <f>IF(AND(O29&lt;(O$101+2*O$102), O29&gt;(O$101-2*O$102)), O29, "")</f>
      </c>
      <c r="AB29" s="3">
        <f>IF(AND(P29&lt;(P$101+2*P$102), P29&gt;(P$101-2*P$102)), P29, "")</f>
      </c>
      <c r="AC29" s="3">
        <f>IF(AND(Q29&lt;(Q$101+2*Q$102), Q29&gt;(Q$101-2*Q$102)), Q29, "")</f>
      </c>
      <c r="AD29" s="3">
        <f>IF(AND(R29&lt;(R$101+2*R$102), R29&gt;(R$101-2*R$102)), R29, "")</f>
      </c>
      <c r="AE29" s="9">
        <f>IF(AND(S29&lt;(S$101+2*S$102), S29&gt;(S$101-2*S$102)), S29, "")</f>
      </c>
    </row>
    <row x14ac:dyDescent="0.25" r="30" customHeight="1" ht="18.75">
      <c r="A30" s="9">
        <v>26</v>
      </c>
      <c r="B30" s="2" t="s">
        <v>43</v>
      </c>
      <c r="C30" s="9">
        <v>3086</v>
      </c>
      <c r="D30" s="2" t="s">
        <v>15</v>
      </c>
      <c r="E30" s="2" t="s">
        <v>15</v>
      </c>
      <c r="F30" s="9">
        <v>50</v>
      </c>
      <c r="G30" s="9">
        <f>IF($E30=$D30, 1, 0)</f>
      </c>
      <c r="H30" s="3">
        <f>IF(AND($F30=0, $G30=1, $E30="[b]"), $C30,"")</f>
      </c>
      <c r="I30" s="3">
        <f>IF(AND($F30=50, $G30=1, $E30="[b]"), $C30,"")</f>
      </c>
      <c r="J30" s="3">
        <f>IF(AND($F30=100, $G30=1, $E30="[b]"), $C30,"")</f>
      </c>
      <c r="K30" s="3">
        <f>IF(AND($F30=150, $G30=1, $E30="[b]"), $C30,"")</f>
      </c>
      <c r="L30" s="3">
        <f>IF(AND($F30=0, $G30=1, $E30="[n]"), $C30,"")</f>
      </c>
      <c r="M30" s="9">
        <f>IF(AND($F30=50, $G30=1, $E30="[n]"), $C30,"")</f>
      </c>
      <c r="N30" s="3">
        <f>IF(AND($F30=100, $G30=1, $E30="[n]"), $C30,"")</f>
      </c>
      <c r="O30" s="3">
        <f>IF(AND($F30=150, $G30=1, $E30="[n]"), $C30,"")</f>
      </c>
      <c r="P30" s="3">
        <f>IF(AND($F30=0, $G30=1), $C30,"")</f>
      </c>
      <c r="Q30" s="9">
        <f>IF(AND($F30=50, $G30=1), $C30,"")</f>
      </c>
      <c r="R30" s="3">
        <f>IF(AND($F30=100, $G30=1), $C30,"")</f>
      </c>
      <c r="S30" s="3">
        <f>IF(AND($F30=150, $G30=1), $C30,"")</f>
      </c>
      <c r="T30" s="3">
        <f>IF(AND(H30&lt;(H$101+2*H$102), H30&gt;(H$101-2*H$102)), H30, "")</f>
      </c>
      <c r="U30" s="3">
        <f>IF(AND(I30&lt;(I$101+2*I$102), I30&gt;(I$101-2*I$102)), I30, "")</f>
      </c>
      <c r="V30" s="3">
        <f>IF(AND(J30&lt;(J$101+2*J$102), J30&gt;(J$101-2*J$102)), J30, "")</f>
      </c>
      <c r="W30" s="3">
        <f>IF(AND(K30&lt;(K$101+2*K$102), K30&gt;(K$101-2*K$102)), K30, "")</f>
      </c>
      <c r="X30" s="3">
        <f>IF(AND(L30&lt;(L$101+2*L$102), L30&gt;(L$101-2*L$102)), L30, "")</f>
      </c>
      <c r="Y30" s="9">
        <f>IF(AND(M30&lt;(M$101+2*M$102), M30&gt;(M$101-2*M$102)), M30, "")</f>
      </c>
      <c r="Z30" s="3">
        <f>IF(AND(N30&lt;(N$101+2*N$102), N30&gt;(N$101-2*N$102)), N30, "")</f>
      </c>
      <c r="AA30" s="3">
        <f>IF(AND(O30&lt;(O$101+2*O$102), O30&gt;(O$101-2*O$102)), O30, "")</f>
      </c>
      <c r="AB30" s="3">
        <f>IF(AND(P30&lt;(P$101+2*P$102), P30&gt;(P$101-2*P$102)), P30, "")</f>
      </c>
      <c r="AC30" s="9">
        <f>IF(AND(Q30&lt;(Q$101+2*Q$102), Q30&gt;(Q$101-2*Q$102)), Q30, "")</f>
      </c>
      <c r="AD30" s="3">
        <f>IF(AND(R30&lt;(R$101+2*R$102), R30&gt;(R$101-2*R$102)), R30, "")</f>
      </c>
      <c r="AE30" s="3">
        <f>IF(AND(S30&lt;(S$101+2*S$102), S30&gt;(S$101-2*S$102)), S30, "")</f>
      </c>
    </row>
    <row x14ac:dyDescent="0.25" r="31" customHeight="1" ht="18.75">
      <c r="A31" s="9">
        <v>27</v>
      </c>
      <c r="B31" s="2" t="s">
        <v>44</v>
      </c>
      <c r="C31" s="9">
        <v>2223</v>
      </c>
      <c r="D31" s="2" t="s">
        <v>18</v>
      </c>
      <c r="E31" s="2" t="s">
        <v>18</v>
      </c>
      <c r="F31" s="9">
        <v>50</v>
      </c>
      <c r="G31" s="9">
        <f>IF($E31=$D31, 1, 0)</f>
      </c>
      <c r="H31" s="3">
        <f>IF(AND($F31=0, $G31=1, $E31="[b]"), $C31,"")</f>
      </c>
      <c r="I31" s="9">
        <f>IF(AND($F31=50, $G31=1, $E31="[b]"), $C31,"")</f>
      </c>
      <c r="J31" s="3">
        <f>IF(AND($F31=100, $G31=1, $E31="[b]"), $C31,"")</f>
      </c>
      <c r="K31" s="3">
        <f>IF(AND($F31=150, $G31=1, $E31="[b]"), $C31,"")</f>
      </c>
      <c r="L31" s="3">
        <f>IF(AND($F31=0, $G31=1, $E31="[n]"), $C31,"")</f>
      </c>
      <c r="M31" s="3">
        <f>IF(AND($F31=50, $G31=1, $E31="[n]"), $C31,"")</f>
      </c>
      <c r="N31" s="3">
        <f>IF(AND($F31=100, $G31=1, $E31="[n]"), $C31,"")</f>
      </c>
      <c r="O31" s="3">
        <f>IF(AND($F31=150, $G31=1, $E31="[n]"), $C31,"")</f>
      </c>
      <c r="P31" s="3">
        <f>IF(AND($F31=0, $G31=1), $C31,"")</f>
      </c>
      <c r="Q31" s="9">
        <f>IF(AND($F31=50, $G31=1), $C31,"")</f>
      </c>
      <c r="R31" s="3">
        <f>IF(AND($F31=100, $G31=1), $C31,"")</f>
      </c>
      <c r="S31" s="3">
        <f>IF(AND($F31=150, $G31=1), $C31,"")</f>
      </c>
      <c r="T31" s="3">
        <f>IF(AND(H31&lt;(H$101+2*H$102), H31&gt;(H$101-2*H$102)), H31, "")</f>
      </c>
      <c r="U31" s="9">
        <f>IF(AND(I31&lt;(I$101+2*I$102), I31&gt;(I$101-2*I$102)), I31, "")</f>
      </c>
      <c r="V31" s="3">
        <f>IF(AND(J31&lt;(J$101+2*J$102), J31&gt;(J$101-2*J$102)), J31, "")</f>
      </c>
      <c r="W31" s="3">
        <f>IF(AND(K31&lt;(K$101+2*K$102), K31&gt;(K$101-2*K$102)), K31, "")</f>
      </c>
      <c r="X31" s="3">
        <f>IF(AND(L31&lt;(L$101+2*L$102), L31&gt;(L$101-2*L$102)), L31, "")</f>
      </c>
      <c r="Y31" s="3">
        <f>IF(AND(M31&lt;(M$101+2*M$102), M31&gt;(M$101-2*M$102)), M31, "")</f>
      </c>
      <c r="Z31" s="3">
        <f>IF(AND(N31&lt;(N$101+2*N$102), N31&gt;(N$101-2*N$102)), N31, "")</f>
      </c>
      <c r="AA31" s="3">
        <f>IF(AND(O31&lt;(O$101+2*O$102), O31&gt;(O$101-2*O$102)), O31, "")</f>
      </c>
      <c r="AB31" s="3">
        <f>IF(AND(P31&lt;(P$101+2*P$102), P31&gt;(P$101-2*P$102)), P31, "")</f>
      </c>
      <c r="AC31" s="9">
        <f>IF(AND(Q31&lt;(Q$101+2*Q$102), Q31&gt;(Q$101-2*Q$102)), Q31, "")</f>
      </c>
      <c r="AD31" s="3">
        <f>IF(AND(R31&lt;(R$101+2*R$102), R31&gt;(R$101-2*R$102)), R31, "")</f>
      </c>
      <c r="AE31" s="3">
        <f>IF(AND(S31&lt;(S$101+2*S$102), S31&gt;(S$101-2*S$102)), S31, "")</f>
      </c>
    </row>
    <row x14ac:dyDescent="0.25" r="32" customHeight="1" ht="18.75">
      <c r="A32" s="9">
        <v>28</v>
      </c>
      <c r="B32" s="2" t="s">
        <v>45</v>
      </c>
      <c r="C32" s="9">
        <v>5937</v>
      </c>
      <c r="D32" s="2" t="s">
        <v>15</v>
      </c>
      <c r="E32" s="2" t="s">
        <v>18</v>
      </c>
      <c r="F32" s="9">
        <v>100</v>
      </c>
      <c r="G32" s="9">
        <f>IF($E32=$D32, 1, 0)</f>
      </c>
      <c r="H32" s="3">
        <f>IF(AND($F32=0, $G32=1, $E32="[b]"), $C32,"")</f>
      </c>
      <c r="I32" s="3">
        <f>IF(AND($F32=50, $G32=1, $E32="[b]"), $C32,"")</f>
      </c>
      <c r="J32" s="3">
        <f>IF(AND($F32=100, $G32=1, $E32="[b]"), $C32,"")</f>
      </c>
      <c r="K32" s="3">
        <f>IF(AND($F32=150, $G32=1, $E32="[b]"), $C32,"")</f>
      </c>
      <c r="L32" s="3">
        <f>IF(AND($F32=0, $G32=1, $E32="[n]"), $C32,"")</f>
      </c>
      <c r="M32" s="3">
        <f>IF(AND($F32=50, $G32=1, $E32="[n]"), $C32,"")</f>
      </c>
      <c r="N32" s="3">
        <f>IF(AND($F32=100, $G32=1, $E32="[n]"), $C32,"")</f>
      </c>
      <c r="O32" s="3">
        <f>IF(AND($F32=150, $G32=1, $E32="[n]"), $C32,"")</f>
      </c>
      <c r="P32" s="3">
        <f>IF(AND($F32=0, $G32=1), $C32,"")</f>
      </c>
      <c r="Q32" s="3">
        <f>IF(AND($F32=50, $G32=1), $C32,"")</f>
      </c>
      <c r="R32" s="3">
        <f>IF(AND($F32=100, $G32=1), $C32,"")</f>
      </c>
      <c r="S32" s="3">
        <f>IF(AND($F32=150, $G32=1), $C32,"")</f>
      </c>
      <c r="T32" s="3">
        <f>IF(AND(H32&lt;(H$101+2*H$102), H32&gt;(H$101-2*H$102)), H32, "")</f>
      </c>
      <c r="U32" s="3">
        <f>IF(AND(I32&lt;(I$101+2*I$102), I32&gt;(I$101-2*I$102)), I32, "")</f>
      </c>
      <c r="V32" s="3">
        <f>IF(AND(J32&lt;(J$101+2*J$102), J32&gt;(J$101-2*J$102)), J32, "")</f>
      </c>
      <c r="W32" s="3">
        <f>IF(AND(K32&lt;(K$101+2*K$102), K32&gt;(K$101-2*K$102)), K32, "")</f>
      </c>
      <c r="X32" s="3">
        <f>IF(AND(L32&lt;(L$101+2*L$102), L32&gt;(L$101-2*L$102)), L32, "")</f>
      </c>
      <c r="Y32" s="3">
        <f>IF(AND(M32&lt;(M$101+2*M$102), M32&gt;(M$101-2*M$102)), M32, "")</f>
      </c>
      <c r="Z32" s="3">
        <f>IF(AND(N32&lt;(N$101+2*N$102), N32&gt;(N$101-2*N$102)), N32, "")</f>
      </c>
      <c r="AA32" s="3">
        <f>IF(AND(O32&lt;(O$101+2*O$102), O32&gt;(O$101-2*O$102)), O32, "")</f>
      </c>
      <c r="AB32" s="3">
        <f>IF(AND(P32&lt;(P$101+2*P$102), P32&gt;(P$101-2*P$102)), P32, "")</f>
      </c>
      <c r="AC32" s="3">
        <f>IF(AND(Q32&lt;(Q$101+2*Q$102), Q32&gt;(Q$101-2*Q$102)), Q32, "")</f>
      </c>
      <c r="AD32" s="3">
        <f>IF(AND(R32&lt;(R$101+2*R$102), R32&gt;(R$101-2*R$102)), R32, "")</f>
      </c>
      <c r="AE32" s="3">
        <f>IF(AND(S32&lt;(S$101+2*S$102), S32&gt;(S$101-2*S$102)), S32, "")</f>
      </c>
    </row>
    <row x14ac:dyDescent="0.25" r="33" customHeight="1" ht="18.75">
      <c r="A33" s="9">
        <v>29</v>
      </c>
      <c r="B33" s="2" t="s">
        <v>46</v>
      </c>
      <c r="C33" s="9">
        <v>1169</v>
      </c>
      <c r="D33" s="2" t="s">
        <v>18</v>
      </c>
      <c r="E33" s="2" t="s">
        <v>18</v>
      </c>
      <c r="F33" s="9">
        <v>0</v>
      </c>
      <c r="G33" s="9">
        <f>IF($E33=$D33, 1, 0)</f>
      </c>
      <c r="H33" s="9">
        <f>IF(AND($F33=0, $G33=1, $E33="[b]"), $C33,"")</f>
      </c>
      <c r="I33" s="3">
        <f>IF(AND($F33=50, $G33=1, $E33="[b]"), $C33,"")</f>
      </c>
      <c r="J33" s="3">
        <f>IF(AND($F33=100, $G33=1, $E33="[b]"), $C33,"")</f>
      </c>
      <c r="K33" s="3">
        <f>IF(AND($F33=150, $G33=1, $E33="[b]"), $C33,"")</f>
      </c>
      <c r="L33" s="3">
        <f>IF(AND($F33=0, $G33=1, $E33="[n]"), $C33,"")</f>
      </c>
      <c r="M33" s="3">
        <f>IF(AND($F33=50, $G33=1, $E33="[n]"), $C33,"")</f>
      </c>
      <c r="N33" s="3">
        <f>IF(AND($F33=100, $G33=1, $E33="[n]"), $C33,"")</f>
      </c>
      <c r="O33" s="3">
        <f>IF(AND($F33=150, $G33=1, $E33="[n]"), $C33,"")</f>
      </c>
      <c r="P33" s="9">
        <f>IF(AND($F33=0, $G33=1), $C33,"")</f>
      </c>
      <c r="Q33" s="3">
        <f>IF(AND($F33=50, $G33=1), $C33,"")</f>
      </c>
      <c r="R33" s="3">
        <f>IF(AND($F33=100, $G33=1), $C33,"")</f>
      </c>
      <c r="S33" s="3">
        <f>IF(AND($F33=150, $G33=1), $C33,"")</f>
      </c>
      <c r="T33" s="9">
        <f>IF(AND(H33&lt;(H$101+2*H$102), H33&gt;(H$101-2*H$102)), H33, "")</f>
      </c>
      <c r="U33" s="3">
        <f>IF(AND(I33&lt;(I$101+2*I$102), I33&gt;(I$101-2*I$102)), I33, "")</f>
      </c>
      <c r="V33" s="3">
        <f>IF(AND(J33&lt;(J$101+2*J$102), J33&gt;(J$101-2*J$102)), J33, "")</f>
      </c>
      <c r="W33" s="3">
        <f>IF(AND(K33&lt;(K$101+2*K$102), K33&gt;(K$101-2*K$102)), K33, "")</f>
      </c>
      <c r="X33" s="3">
        <f>IF(AND(L33&lt;(L$101+2*L$102), L33&gt;(L$101-2*L$102)), L33, "")</f>
      </c>
      <c r="Y33" s="3">
        <f>IF(AND(M33&lt;(M$101+2*M$102), M33&gt;(M$101-2*M$102)), M33, "")</f>
      </c>
      <c r="Z33" s="3">
        <f>IF(AND(N33&lt;(N$101+2*N$102), N33&gt;(N$101-2*N$102)), N33, "")</f>
      </c>
      <c r="AA33" s="3">
        <f>IF(AND(O33&lt;(O$101+2*O$102), O33&gt;(O$101-2*O$102)), O33, "")</f>
      </c>
      <c r="AB33" s="9">
        <f>IF(AND(P33&lt;(P$101+2*P$102), P33&gt;(P$101-2*P$102)), P33, "")</f>
      </c>
      <c r="AC33" s="3">
        <f>IF(AND(Q33&lt;(Q$101+2*Q$102), Q33&gt;(Q$101-2*Q$102)), Q33, "")</f>
      </c>
      <c r="AD33" s="3">
        <f>IF(AND(R33&lt;(R$101+2*R$102), R33&gt;(R$101-2*R$102)), R33, "")</f>
      </c>
      <c r="AE33" s="3">
        <f>IF(AND(S33&lt;(S$101+2*S$102), S33&gt;(S$101-2*S$102)), S33, "")</f>
      </c>
    </row>
    <row x14ac:dyDescent="0.25" r="34" customHeight="1" ht="18.75">
      <c r="A34" s="9">
        <v>30</v>
      </c>
      <c r="B34" s="2" t="s">
        <v>47</v>
      </c>
      <c r="C34" s="9">
        <v>2559</v>
      </c>
      <c r="D34" s="2" t="s">
        <v>15</v>
      </c>
      <c r="E34" s="2" t="s">
        <v>15</v>
      </c>
      <c r="F34" s="9">
        <v>0</v>
      </c>
      <c r="G34" s="9">
        <f>IF($E34=$D34, 1, 0)</f>
      </c>
      <c r="H34" s="3">
        <f>IF(AND($F34=0, $G34=1, $E34="[b]"), $C34,"")</f>
      </c>
      <c r="I34" s="3">
        <f>IF(AND($F34=50, $G34=1, $E34="[b]"), $C34,"")</f>
      </c>
      <c r="J34" s="3">
        <f>IF(AND($F34=100, $G34=1, $E34="[b]"), $C34,"")</f>
      </c>
      <c r="K34" s="3">
        <f>IF(AND($F34=150, $G34=1, $E34="[b]"), $C34,"")</f>
      </c>
      <c r="L34" s="9">
        <f>IF(AND($F34=0, $G34=1, $E34="[n]"), $C34,"")</f>
      </c>
      <c r="M34" s="3">
        <f>IF(AND($F34=50, $G34=1, $E34="[n]"), $C34,"")</f>
      </c>
      <c r="N34" s="3">
        <f>IF(AND($F34=100, $G34=1, $E34="[n]"), $C34,"")</f>
      </c>
      <c r="O34" s="3">
        <f>IF(AND($F34=150, $G34=1, $E34="[n]"), $C34,"")</f>
      </c>
      <c r="P34" s="9">
        <f>IF(AND($F34=0, $G34=1), $C34,"")</f>
      </c>
      <c r="Q34" s="3">
        <f>IF(AND($F34=50, $G34=1), $C34,"")</f>
      </c>
      <c r="R34" s="3">
        <f>IF(AND($F34=100, $G34=1), $C34,"")</f>
      </c>
      <c r="S34" s="3">
        <f>IF(AND($F34=150, $G34=1), $C34,"")</f>
      </c>
      <c r="T34" s="3">
        <f>IF(AND(H34&lt;(H$101+2*H$102), H34&gt;(H$101-2*H$102)), H34, "")</f>
      </c>
      <c r="U34" s="3">
        <f>IF(AND(I34&lt;(I$101+2*I$102), I34&gt;(I$101-2*I$102)), I34, "")</f>
      </c>
      <c r="V34" s="3">
        <f>IF(AND(J34&lt;(J$101+2*J$102), J34&gt;(J$101-2*J$102)), J34, "")</f>
      </c>
      <c r="W34" s="3">
        <f>IF(AND(K34&lt;(K$101+2*K$102), K34&gt;(K$101-2*K$102)), K34, "")</f>
      </c>
      <c r="X34" s="9">
        <f>IF(AND(L34&lt;(L$101+2*L$102), L34&gt;(L$101-2*L$102)), L34, "")</f>
      </c>
      <c r="Y34" s="3">
        <f>IF(AND(M34&lt;(M$101+2*M$102), M34&gt;(M$101-2*M$102)), M34, "")</f>
      </c>
      <c r="Z34" s="3">
        <f>IF(AND(N34&lt;(N$101+2*N$102), N34&gt;(N$101-2*N$102)), N34, "")</f>
      </c>
      <c r="AA34" s="3">
        <f>IF(AND(O34&lt;(O$101+2*O$102), O34&gt;(O$101-2*O$102)), O34, "")</f>
      </c>
      <c r="AB34" s="9">
        <f>IF(AND(P34&lt;(P$101+2*P$102), P34&gt;(P$101-2*P$102)), P34, "")</f>
      </c>
      <c r="AC34" s="3">
        <f>IF(AND(Q34&lt;(Q$101+2*Q$102), Q34&gt;(Q$101-2*Q$102)), Q34, "")</f>
      </c>
      <c r="AD34" s="3">
        <f>IF(AND(R34&lt;(R$101+2*R$102), R34&gt;(R$101-2*R$102)), R34, "")</f>
      </c>
      <c r="AE34" s="3">
        <f>IF(AND(S34&lt;(S$101+2*S$102), S34&gt;(S$101-2*S$102)), S34, "")</f>
      </c>
    </row>
    <row x14ac:dyDescent="0.25" r="35" customHeight="1" ht="18.75">
      <c r="A35" s="9">
        <v>31</v>
      </c>
      <c r="B35" s="2" t="s">
        <v>48</v>
      </c>
      <c r="C35" s="9">
        <v>3711</v>
      </c>
      <c r="D35" s="2" t="s">
        <v>18</v>
      </c>
      <c r="E35" s="2" t="s">
        <v>18</v>
      </c>
      <c r="F35" s="9">
        <v>150</v>
      </c>
      <c r="G35" s="9">
        <f>IF($E35=$D35, 1, 0)</f>
      </c>
      <c r="H35" s="3">
        <f>IF(AND($F35=0, $G35=1, $E35="[b]"), $C35,"")</f>
      </c>
      <c r="I35" s="3">
        <f>IF(AND($F35=50, $G35=1, $E35="[b]"), $C35,"")</f>
      </c>
      <c r="J35" s="3">
        <f>IF(AND($F35=100, $G35=1, $E35="[b]"), $C35,"")</f>
      </c>
      <c r="K35" s="9">
        <f>IF(AND($F35=150, $G35=1, $E35="[b]"), $C35,"")</f>
      </c>
      <c r="L35" s="3">
        <f>IF(AND($F35=0, $G35=1, $E35="[n]"), $C35,"")</f>
      </c>
      <c r="M35" s="3">
        <f>IF(AND($F35=50, $G35=1, $E35="[n]"), $C35,"")</f>
      </c>
      <c r="N35" s="3">
        <f>IF(AND($F35=100, $G35=1, $E35="[n]"), $C35,"")</f>
      </c>
      <c r="O35" s="3">
        <f>IF(AND($F35=150, $G35=1, $E35="[n]"), $C35,"")</f>
      </c>
      <c r="P35" s="3">
        <f>IF(AND($F35=0, $G35=1), $C35,"")</f>
      </c>
      <c r="Q35" s="3">
        <f>IF(AND($F35=50, $G35=1), $C35,"")</f>
      </c>
      <c r="R35" s="3">
        <f>IF(AND($F35=100, $G35=1), $C35,"")</f>
      </c>
      <c r="S35" s="9">
        <f>IF(AND($F35=150, $G35=1), $C35,"")</f>
      </c>
      <c r="T35" s="3">
        <f>IF(AND(H35&lt;(H$101+2*H$102), H35&gt;(H$101-2*H$102)), H35, "")</f>
      </c>
      <c r="U35" s="3">
        <f>IF(AND(I35&lt;(I$101+2*I$102), I35&gt;(I$101-2*I$102)), I35, "")</f>
      </c>
      <c r="V35" s="3">
        <f>IF(AND(J35&lt;(J$101+2*J$102), J35&gt;(J$101-2*J$102)), J35, "")</f>
      </c>
      <c r="W35" s="9">
        <f>IF(AND(K35&lt;(K$101+2*K$102), K35&gt;(K$101-2*K$102)), K35, "")</f>
      </c>
      <c r="X35" s="3">
        <f>IF(AND(L35&lt;(L$101+2*L$102), L35&gt;(L$101-2*L$102)), L35, "")</f>
      </c>
      <c r="Y35" s="3">
        <f>IF(AND(M35&lt;(M$101+2*M$102), M35&gt;(M$101-2*M$102)), M35, "")</f>
      </c>
      <c r="Z35" s="3">
        <f>IF(AND(N35&lt;(N$101+2*N$102), N35&gt;(N$101-2*N$102)), N35, "")</f>
      </c>
      <c r="AA35" s="3">
        <f>IF(AND(O35&lt;(O$101+2*O$102), O35&gt;(O$101-2*O$102)), O35, "")</f>
      </c>
      <c r="AB35" s="3">
        <f>IF(AND(P35&lt;(P$101+2*P$102), P35&gt;(P$101-2*P$102)), P35, "")</f>
      </c>
      <c r="AC35" s="3">
        <f>IF(AND(Q35&lt;(Q$101+2*Q$102), Q35&gt;(Q$101-2*Q$102)), Q35, "")</f>
      </c>
      <c r="AD35" s="3">
        <f>IF(AND(R35&lt;(R$101+2*R$102), R35&gt;(R$101-2*R$102)), R35, "")</f>
      </c>
      <c r="AE35" s="9">
        <f>IF(AND(S35&lt;(S$101+2*S$102), S35&gt;(S$101-2*S$102)), S35, "")</f>
      </c>
    </row>
    <row x14ac:dyDescent="0.25" r="36" customHeight="1" ht="18.75">
      <c r="A36" s="9">
        <v>32</v>
      </c>
      <c r="B36" s="2" t="s">
        <v>49</v>
      </c>
      <c r="C36" s="9">
        <v>2671</v>
      </c>
      <c r="D36" s="2" t="s">
        <v>15</v>
      </c>
      <c r="E36" s="2" t="s">
        <v>15</v>
      </c>
      <c r="F36" s="9">
        <v>100</v>
      </c>
      <c r="G36" s="9">
        <f>IF($E36=$D36, 1, 0)</f>
      </c>
      <c r="H36" s="3">
        <f>IF(AND($F36=0, $G36=1, $E36="[b]"), $C36,"")</f>
      </c>
      <c r="I36" s="3">
        <f>IF(AND($F36=50, $G36=1, $E36="[b]"), $C36,"")</f>
      </c>
      <c r="J36" s="3">
        <f>IF(AND($F36=100, $G36=1, $E36="[b]"), $C36,"")</f>
      </c>
      <c r="K36" s="3">
        <f>IF(AND($F36=150, $G36=1, $E36="[b]"), $C36,"")</f>
      </c>
      <c r="L36" s="3">
        <f>IF(AND($F36=0, $G36=1, $E36="[n]"), $C36,"")</f>
      </c>
      <c r="M36" s="3">
        <f>IF(AND($F36=50, $G36=1, $E36="[n]"), $C36,"")</f>
      </c>
      <c r="N36" s="9">
        <f>IF(AND($F36=100, $G36=1, $E36="[n]"), $C36,"")</f>
      </c>
      <c r="O36" s="3">
        <f>IF(AND($F36=150, $G36=1, $E36="[n]"), $C36,"")</f>
      </c>
      <c r="P36" s="3">
        <f>IF(AND($F36=0, $G36=1), $C36,"")</f>
      </c>
      <c r="Q36" s="3">
        <f>IF(AND($F36=50, $G36=1), $C36,"")</f>
      </c>
      <c r="R36" s="9">
        <f>IF(AND($F36=100, $G36=1), $C36,"")</f>
      </c>
      <c r="S36" s="3">
        <f>IF(AND($F36=150, $G36=1), $C36,"")</f>
      </c>
      <c r="T36" s="3">
        <f>IF(AND(H36&lt;(H$101+2*H$102), H36&gt;(H$101-2*H$102)), H36, "")</f>
      </c>
      <c r="U36" s="3">
        <f>IF(AND(I36&lt;(I$101+2*I$102), I36&gt;(I$101-2*I$102)), I36, "")</f>
      </c>
      <c r="V36" s="3">
        <f>IF(AND(J36&lt;(J$101+2*J$102), J36&gt;(J$101-2*J$102)), J36, "")</f>
      </c>
      <c r="W36" s="3">
        <f>IF(AND(K36&lt;(K$101+2*K$102), K36&gt;(K$101-2*K$102)), K36, "")</f>
      </c>
      <c r="X36" s="3">
        <f>IF(AND(L36&lt;(L$101+2*L$102), L36&gt;(L$101-2*L$102)), L36, "")</f>
      </c>
      <c r="Y36" s="3">
        <f>IF(AND(M36&lt;(M$101+2*M$102), M36&gt;(M$101-2*M$102)), M36, "")</f>
      </c>
      <c r="Z36" s="9">
        <f>IF(AND(N36&lt;(N$101+2*N$102), N36&gt;(N$101-2*N$102)), N36, "")</f>
      </c>
      <c r="AA36" s="3">
        <f>IF(AND(O36&lt;(O$101+2*O$102), O36&gt;(O$101-2*O$102)), O36, "")</f>
      </c>
      <c r="AB36" s="3">
        <f>IF(AND(P36&lt;(P$101+2*P$102), P36&gt;(P$101-2*P$102)), P36, "")</f>
      </c>
      <c r="AC36" s="3">
        <f>IF(AND(Q36&lt;(Q$101+2*Q$102), Q36&gt;(Q$101-2*Q$102)), Q36, "")</f>
      </c>
      <c r="AD36" s="9">
        <f>IF(AND(R36&lt;(R$101+2*R$102), R36&gt;(R$101-2*R$102)), R36, "")</f>
      </c>
      <c r="AE36" s="3">
        <f>IF(AND(S36&lt;(S$101+2*S$102), S36&gt;(S$101-2*S$102)), S36, "")</f>
      </c>
    </row>
    <row x14ac:dyDescent="0.25" r="37" customHeight="1" ht="18.75">
      <c r="A37" s="9">
        <v>33</v>
      </c>
      <c r="B37" s="2" t="s">
        <v>50</v>
      </c>
      <c r="C37" s="9">
        <v>3270</v>
      </c>
      <c r="D37" s="2" t="s">
        <v>18</v>
      </c>
      <c r="E37" s="2" t="s">
        <v>18</v>
      </c>
      <c r="F37" s="9">
        <v>50</v>
      </c>
      <c r="G37" s="9">
        <f>IF($E37=$D37, 1, 0)</f>
      </c>
      <c r="H37" s="3">
        <f>IF(AND($F37=0, $G37=1, $E37="[b]"), $C37,"")</f>
      </c>
      <c r="I37" s="9">
        <f>IF(AND($F37=50, $G37=1, $E37="[b]"), $C37,"")</f>
      </c>
      <c r="J37" s="3">
        <f>IF(AND($F37=100, $G37=1, $E37="[b]"), $C37,"")</f>
      </c>
      <c r="K37" s="3">
        <f>IF(AND($F37=150, $G37=1, $E37="[b]"), $C37,"")</f>
      </c>
      <c r="L37" s="3">
        <f>IF(AND($F37=0, $G37=1, $E37="[n]"), $C37,"")</f>
      </c>
      <c r="M37" s="3">
        <f>IF(AND($F37=50, $G37=1, $E37="[n]"), $C37,"")</f>
      </c>
      <c r="N37" s="3">
        <f>IF(AND($F37=100, $G37=1, $E37="[n]"), $C37,"")</f>
      </c>
      <c r="O37" s="3">
        <f>IF(AND($F37=150, $G37=1, $E37="[n]"), $C37,"")</f>
      </c>
      <c r="P37" s="3">
        <f>IF(AND($F37=0, $G37=1), $C37,"")</f>
      </c>
      <c r="Q37" s="9">
        <f>IF(AND($F37=50, $G37=1), $C37,"")</f>
      </c>
      <c r="R37" s="3">
        <f>IF(AND($F37=100, $G37=1), $C37,"")</f>
      </c>
      <c r="S37" s="3">
        <f>IF(AND($F37=150, $G37=1), $C37,"")</f>
      </c>
      <c r="T37" s="3">
        <f>IF(AND(H37&lt;(H$101+2*H$102), H37&gt;(H$101-2*H$102)), H37, "")</f>
      </c>
      <c r="U37" s="9">
        <f>IF(AND(I37&lt;(I$101+2*I$102), I37&gt;(I$101-2*I$102)), I37, "")</f>
      </c>
      <c r="V37" s="3">
        <f>IF(AND(J37&lt;(J$101+2*J$102), J37&gt;(J$101-2*J$102)), J37, "")</f>
      </c>
      <c r="W37" s="3">
        <f>IF(AND(K37&lt;(K$101+2*K$102), K37&gt;(K$101-2*K$102)), K37, "")</f>
      </c>
      <c r="X37" s="3">
        <f>IF(AND(L37&lt;(L$101+2*L$102), L37&gt;(L$101-2*L$102)), L37, "")</f>
      </c>
      <c r="Y37" s="3">
        <f>IF(AND(M37&lt;(M$101+2*M$102), M37&gt;(M$101-2*M$102)), M37, "")</f>
      </c>
      <c r="Z37" s="3">
        <f>IF(AND(N37&lt;(N$101+2*N$102), N37&gt;(N$101-2*N$102)), N37, "")</f>
      </c>
      <c r="AA37" s="3">
        <f>IF(AND(O37&lt;(O$101+2*O$102), O37&gt;(O$101-2*O$102)), O37, "")</f>
      </c>
      <c r="AB37" s="3">
        <f>IF(AND(P37&lt;(P$101+2*P$102), P37&gt;(P$101-2*P$102)), P37, "")</f>
      </c>
      <c r="AC37" s="9">
        <f>IF(AND(Q37&lt;(Q$101+2*Q$102), Q37&gt;(Q$101-2*Q$102)), Q37, "")</f>
      </c>
      <c r="AD37" s="3">
        <f>IF(AND(R37&lt;(R$101+2*R$102), R37&gt;(R$101-2*R$102)), R37, "")</f>
      </c>
      <c r="AE37" s="3">
        <f>IF(AND(S37&lt;(S$101+2*S$102), S37&gt;(S$101-2*S$102)), S37, "")</f>
      </c>
    </row>
    <row x14ac:dyDescent="0.25" r="38" customHeight="1" ht="18.75">
      <c r="A38" s="9">
        <v>34</v>
      </c>
      <c r="B38" s="2" t="s">
        <v>51</v>
      </c>
      <c r="C38" s="9">
        <v>1862</v>
      </c>
      <c r="D38" s="2" t="s">
        <v>18</v>
      </c>
      <c r="E38" s="2" t="s">
        <v>18</v>
      </c>
      <c r="F38" s="9">
        <v>100</v>
      </c>
      <c r="G38" s="9">
        <f>IF($E38=$D38, 1, 0)</f>
      </c>
      <c r="H38" s="3">
        <f>IF(AND($F38=0, $G38=1, $E38="[b]"), $C38,"")</f>
      </c>
      <c r="I38" s="3">
        <f>IF(AND($F38=50, $G38=1, $E38="[b]"), $C38,"")</f>
      </c>
      <c r="J38" s="9">
        <f>IF(AND($F38=100, $G38=1, $E38="[b]"), $C38,"")</f>
      </c>
      <c r="K38" s="3">
        <f>IF(AND($F38=150, $G38=1, $E38="[b]"), $C38,"")</f>
      </c>
      <c r="L38" s="3">
        <f>IF(AND($F38=0, $G38=1, $E38="[n]"), $C38,"")</f>
      </c>
      <c r="M38" s="3">
        <f>IF(AND($F38=50, $G38=1, $E38="[n]"), $C38,"")</f>
      </c>
      <c r="N38" s="3">
        <f>IF(AND($F38=100, $G38=1, $E38="[n]"), $C38,"")</f>
      </c>
      <c r="O38" s="3">
        <f>IF(AND($F38=150, $G38=1, $E38="[n]"), $C38,"")</f>
      </c>
      <c r="P38" s="3">
        <f>IF(AND($F38=0, $G38=1), $C38,"")</f>
      </c>
      <c r="Q38" s="3">
        <f>IF(AND($F38=50, $G38=1), $C38,"")</f>
      </c>
      <c r="R38" s="9">
        <f>IF(AND($F38=100, $G38=1), $C38,"")</f>
      </c>
      <c r="S38" s="3">
        <f>IF(AND($F38=150, $G38=1), $C38,"")</f>
      </c>
      <c r="T38" s="3">
        <f>IF(AND(H38&lt;(H$101+2*H$102), H38&gt;(H$101-2*H$102)), H38, "")</f>
      </c>
      <c r="U38" s="3">
        <f>IF(AND(I38&lt;(I$101+2*I$102), I38&gt;(I$101-2*I$102)), I38, "")</f>
      </c>
      <c r="V38" s="9">
        <f>IF(AND(J38&lt;(J$101+2*J$102), J38&gt;(J$101-2*J$102)), J38, "")</f>
      </c>
      <c r="W38" s="3">
        <f>IF(AND(K38&lt;(K$101+2*K$102), K38&gt;(K$101-2*K$102)), K38, "")</f>
      </c>
      <c r="X38" s="3">
        <f>IF(AND(L38&lt;(L$101+2*L$102), L38&gt;(L$101-2*L$102)), L38, "")</f>
      </c>
      <c r="Y38" s="3">
        <f>IF(AND(M38&lt;(M$101+2*M$102), M38&gt;(M$101-2*M$102)), M38, "")</f>
      </c>
      <c r="Z38" s="3">
        <f>IF(AND(N38&lt;(N$101+2*N$102), N38&gt;(N$101-2*N$102)), N38, "")</f>
      </c>
      <c r="AA38" s="3">
        <f>IF(AND(O38&lt;(O$101+2*O$102), O38&gt;(O$101-2*O$102)), O38, "")</f>
      </c>
      <c r="AB38" s="3">
        <f>IF(AND(P38&lt;(P$101+2*P$102), P38&gt;(P$101-2*P$102)), P38, "")</f>
      </c>
      <c r="AC38" s="3">
        <f>IF(AND(Q38&lt;(Q$101+2*Q$102), Q38&gt;(Q$101-2*Q$102)), Q38, "")</f>
      </c>
      <c r="AD38" s="9">
        <f>IF(AND(R38&lt;(R$101+2*R$102), R38&gt;(R$101-2*R$102)), R38, "")</f>
      </c>
      <c r="AE38" s="3">
        <f>IF(AND(S38&lt;(S$101+2*S$102), S38&gt;(S$101-2*S$102)), S38, "")</f>
      </c>
    </row>
    <row x14ac:dyDescent="0.25" r="39" customHeight="1" ht="18.75">
      <c r="A39" s="9">
        <v>35</v>
      </c>
      <c r="B39" s="2" t="s">
        <v>52</v>
      </c>
      <c r="C39" s="9">
        <v>2936</v>
      </c>
      <c r="D39" s="2" t="s">
        <v>18</v>
      </c>
      <c r="E39" s="2" t="s">
        <v>18</v>
      </c>
      <c r="F39" s="9">
        <v>150</v>
      </c>
      <c r="G39" s="9">
        <f>IF($E39=$D39, 1, 0)</f>
      </c>
      <c r="H39" s="3">
        <f>IF(AND($F39=0, $G39=1, $E39="[b]"), $C39,"")</f>
      </c>
      <c r="I39" s="3">
        <f>IF(AND($F39=50, $G39=1, $E39="[b]"), $C39,"")</f>
      </c>
      <c r="J39" s="3">
        <f>IF(AND($F39=100, $G39=1, $E39="[b]"), $C39,"")</f>
      </c>
      <c r="K39" s="9">
        <f>IF(AND($F39=150, $G39=1, $E39="[b]"), $C39,"")</f>
      </c>
      <c r="L39" s="3">
        <f>IF(AND($F39=0, $G39=1, $E39="[n]"), $C39,"")</f>
      </c>
      <c r="M39" s="3">
        <f>IF(AND($F39=50, $G39=1, $E39="[n]"), $C39,"")</f>
      </c>
      <c r="N39" s="3">
        <f>IF(AND($F39=100, $G39=1, $E39="[n]"), $C39,"")</f>
      </c>
      <c r="O39" s="3">
        <f>IF(AND($F39=150, $G39=1, $E39="[n]"), $C39,"")</f>
      </c>
      <c r="P39" s="3">
        <f>IF(AND($F39=0, $G39=1), $C39,"")</f>
      </c>
      <c r="Q39" s="3">
        <f>IF(AND($F39=50, $G39=1), $C39,"")</f>
      </c>
      <c r="R39" s="3">
        <f>IF(AND($F39=100, $G39=1), $C39,"")</f>
      </c>
      <c r="S39" s="9">
        <f>IF(AND($F39=150, $G39=1), $C39,"")</f>
      </c>
      <c r="T39" s="3">
        <f>IF(AND(H39&lt;(H$101+2*H$102), H39&gt;(H$101-2*H$102)), H39, "")</f>
      </c>
      <c r="U39" s="3">
        <f>IF(AND(I39&lt;(I$101+2*I$102), I39&gt;(I$101-2*I$102)), I39, "")</f>
      </c>
      <c r="V39" s="3">
        <f>IF(AND(J39&lt;(J$101+2*J$102), J39&gt;(J$101-2*J$102)), J39, "")</f>
      </c>
      <c r="W39" s="9">
        <f>IF(AND(K39&lt;(K$101+2*K$102), K39&gt;(K$101-2*K$102)), K39, "")</f>
      </c>
      <c r="X39" s="3">
        <f>IF(AND(L39&lt;(L$101+2*L$102), L39&gt;(L$101-2*L$102)), L39, "")</f>
      </c>
      <c r="Y39" s="3">
        <f>IF(AND(M39&lt;(M$101+2*M$102), M39&gt;(M$101-2*M$102)), M39, "")</f>
      </c>
      <c r="Z39" s="3">
        <f>IF(AND(N39&lt;(N$101+2*N$102), N39&gt;(N$101-2*N$102)), N39, "")</f>
      </c>
      <c r="AA39" s="3">
        <f>IF(AND(O39&lt;(O$101+2*O$102), O39&gt;(O$101-2*O$102)), O39, "")</f>
      </c>
      <c r="AB39" s="3">
        <f>IF(AND(P39&lt;(P$101+2*P$102), P39&gt;(P$101-2*P$102)), P39, "")</f>
      </c>
      <c r="AC39" s="3">
        <f>IF(AND(Q39&lt;(Q$101+2*Q$102), Q39&gt;(Q$101-2*Q$102)), Q39, "")</f>
      </c>
      <c r="AD39" s="3">
        <f>IF(AND(R39&lt;(R$101+2*R$102), R39&gt;(R$101-2*R$102)), R39, "")</f>
      </c>
      <c r="AE39" s="9">
        <f>IF(AND(S39&lt;(S$101+2*S$102), S39&gt;(S$101-2*S$102)), S39, "")</f>
      </c>
    </row>
    <row x14ac:dyDescent="0.25" r="40" customHeight="1" ht="18.75">
      <c r="A40" s="9">
        <v>36</v>
      </c>
      <c r="B40" s="2" t="s">
        <v>53</v>
      </c>
      <c r="C40" s="9">
        <v>3463</v>
      </c>
      <c r="D40" s="2" t="s">
        <v>15</v>
      </c>
      <c r="E40" s="2" t="s">
        <v>15</v>
      </c>
      <c r="F40" s="9">
        <v>0</v>
      </c>
      <c r="G40" s="9">
        <f>IF($E40=$D40, 1, 0)</f>
      </c>
      <c r="H40" s="3">
        <f>IF(AND($F40=0, $G40=1, $E40="[b]"), $C40,"")</f>
      </c>
      <c r="I40" s="3">
        <f>IF(AND($F40=50, $G40=1, $E40="[b]"), $C40,"")</f>
      </c>
      <c r="J40" s="3">
        <f>IF(AND($F40=100, $G40=1, $E40="[b]"), $C40,"")</f>
      </c>
      <c r="K40" s="3">
        <f>IF(AND($F40=150, $G40=1, $E40="[b]"), $C40,"")</f>
      </c>
      <c r="L40" s="9">
        <f>IF(AND($F40=0, $G40=1, $E40="[n]"), $C40,"")</f>
      </c>
      <c r="M40" s="3">
        <f>IF(AND($F40=50, $G40=1, $E40="[n]"), $C40,"")</f>
      </c>
      <c r="N40" s="3">
        <f>IF(AND($F40=100, $G40=1, $E40="[n]"), $C40,"")</f>
      </c>
      <c r="O40" s="3">
        <f>IF(AND($F40=150, $G40=1, $E40="[n]"), $C40,"")</f>
      </c>
      <c r="P40" s="9">
        <f>IF(AND($F40=0, $G40=1), $C40,"")</f>
      </c>
      <c r="Q40" s="3">
        <f>IF(AND($F40=50, $G40=1), $C40,"")</f>
      </c>
      <c r="R40" s="3">
        <f>IF(AND($F40=100, $G40=1), $C40,"")</f>
      </c>
      <c r="S40" s="3">
        <f>IF(AND($F40=150, $G40=1), $C40,"")</f>
      </c>
      <c r="T40" s="3">
        <f>IF(AND(H40&lt;(H$101+2*H$102), H40&gt;(H$101-2*H$102)), H40, "")</f>
      </c>
      <c r="U40" s="3">
        <f>IF(AND(I40&lt;(I$101+2*I$102), I40&gt;(I$101-2*I$102)), I40, "")</f>
      </c>
      <c r="V40" s="3">
        <f>IF(AND(J40&lt;(J$101+2*J$102), J40&gt;(J$101-2*J$102)), J40, "")</f>
      </c>
      <c r="W40" s="3">
        <f>IF(AND(K40&lt;(K$101+2*K$102), K40&gt;(K$101-2*K$102)), K40, "")</f>
      </c>
      <c r="X40" s="9">
        <f>IF(AND(L40&lt;(L$101+2*L$102), L40&gt;(L$101-2*L$102)), L40, "")</f>
      </c>
      <c r="Y40" s="3">
        <f>IF(AND(M40&lt;(M$101+2*M$102), M40&gt;(M$101-2*M$102)), M40, "")</f>
      </c>
      <c r="Z40" s="3">
        <f>IF(AND(N40&lt;(N$101+2*N$102), N40&gt;(N$101-2*N$102)), N40, "")</f>
      </c>
      <c r="AA40" s="3">
        <f>IF(AND(O40&lt;(O$101+2*O$102), O40&gt;(O$101-2*O$102)), O40, "")</f>
      </c>
      <c r="AB40" s="9">
        <f>IF(AND(P40&lt;(P$101+2*P$102), P40&gt;(P$101-2*P$102)), P40, "")</f>
      </c>
      <c r="AC40" s="3">
        <f>IF(AND(Q40&lt;(Q$101+2*Q$102), Q40&gt;(Q$101-2*Q$102)), Q40, "")</f>
      </c>
      <c r="AD40" s="3">
        <f>IF(AND(R40&lt;(R$101+2*R$102), R40&gt;(R$101-2*R$102)), R40, "")</f>
      </c>
      <c r="AE40" s="3">
        <f>IF(AND(S40&lt;(S$101+2*S$102), S40&gt;(S$101-2*S$102)), S40, "")</f>
      </c>
    </row>
    <row x14ac:dyDescent="0.25" r="41" customHeight="1" ht="18.75">
      <c r="A41" s="9">
        <v>37</v>
      </c>
      <c r="B41" s="2" t="s">
        <v>54</v>
      </c>
      <c r="C41" s="9">
        <v>4596</v>
      </c>
      <c r="D41" s="2" t="s">
        <v>18</v>
      </c>
      <c r="E41" s="2" t="s">
        <v>18</v>
      </c>
      <c r="F41" s="9">
        <v>100</v>
      </c>
      <c r="G41" s="9">
        <f>IF($E41=$D41, 1, 0)</f>
      </c>
      <c r="H41" s="3">
        <f>IF(AND($F41=0, $G41=1, $E41="[b]"), $C41,"")</f>
      </c>
      <c r="I41" s="3">
        <f>IF(AND($F41=50, $G41=1, $E41="[b]"), $C41,"")</f>
      </c>
      <c r="J41" s="9">
        <f>IF(AND($F41=100, $G41=1, $E41="[b]"), $C41,"")</f>
      </c>
      <c r="K41" s="3">
        <f>IF(AND($F41=150, $G41=1, $E41="[b]"), $C41,"")</f>
      </c>
      <c r="L41" s="3">
        <f>IF(AND($F41=0, $G41=1, $E41="[n]"), $C41,"")</f>
      </c>
      <c r="M41" s="3">
        <f>IF(AND($F41=50, $G41=1, $E41="[n]"), $C41,"")</f>
      </c>
      <c r="N41" s="3">
        <f>IF(AND($F41=100, $G41=1, $E41="[n]"), $C41,"")</f>
      </c>
      <c r="O41" s="3">
        <f>IF(AND($F41=150, $G41=1, $E41="[n]"), $C41,"")</f>
      </c>
      <c r="P41" s="3">
        <f>IF(AND($F41=0, $G41=1), $C41,"")</f>
      </c>
      <c r="Q41" s="3">
        <f>IF(AND($F41=50, $G41=1), $C41,"")</f>
      </c>
      <c r="R41" s="9">
        <f>IF(AND($F41=100, $G41=1), $C41,"")</f>
      </c>
      <c r="S41" s="3">
        <f>IF(AND($F41=150, $G41=1), $C41,"")</f>
      </c>
      <c r="T41" s="3">
        <f>IF(AND(H41&lt;(H$101+2*H$102), H41&gt;(H$101-2*H$102)), H41, "")</f>
      </c>
      <c r="U41" s="3">
        <f>IF(AND(I41&lt;(I$101+2*I$102), I41&gt;(I$101-2*I$102)), I41, "")</f>
      </c>
      <c r="V41" s="9">
        <f>IF(AND(J41&lt;(J$101+2*J$102), J41&gt;(J$101-2*J$102)), J41, "")</f>
      </c>
      <c r="W41" s="3">
        <f>IF(AND(K41&lt;(K$101+2*K$102), K41&gt;(K$101-2*K$102)), K41, "")</f>
      </c>
      <c r="X41" s="3">
        <f>IF(AND(L41&lt;(L$101+2*L$102), L41&gt;(L$101-2*L$102)), L41, "")</f>
      </c>
      <c r="Y41" s="3">
        <f>IF(AND(M41&lt;(M$101+2*M$102), M41&gt;(M$101-2*M$102)), M41, "")</f>
      </c>
      <c r="Z41" s="3">
        <f>IF(AND(N41&lt;(N$101+2*N$102), N41&gt;(N$101-2*N$102)), N41, "")</f>
      </c>
      <c r="AA41" s="3">
        <f>IF(AND(O41&lt;(O$101+2*O$102), O41&gt;(O$101-2*O$102)), O41, "")</f>
      </c>
      <c r="AB41" s="3">
        <f>IF(AND(P41&lt;(P$101+2*P$102), P41&gt;(P$101-2*P$102)), P41, "")</f>
      </c>
      <c r="AC41" s="3">
        <f>IF(AND(Q41&lt;(Q$101+2*Q$102), Q41&gt;(Q$101-2*Q$102)), Q41, "")</f>
      </c>
      <c r="AD41" s="9">
        <f>IF(AND(R41&lt;(R$101+2*R$102), R41&gt;(R$101-2*R$102)), R41, "")</f>
      </c>
      <c r="AE41" s="3">
        <f>IF(AND(S41&lt;(S$101+2*S$102), S41&gt;(S$101-2*S$102)), S41, "")</f>
      </c>
    </row>
    <row x14ac:dyDescent="0.25" r="42" customHeight="1" ht="18.75">
      <c r="A42" s="9">
        <v>38</v>
      </c>
      <c r="B42" s="2" t="s">
        <v>55</v>
      </c>
      <c r="C42" s="9">
        <v>2152</v>
      </c>
      <c r="D42" s="2" t="s">
        <v>18</v>
      </c>
      <c r="E42" s="2" t="s">
        <v>15</v>
      </c>
      <c r="F42" s="9">
        <v>150</v>
      </c>
      <c r="G42" s="9">
        <f>IF($E42=$D42, 1, 0)</f>
      </c>
      <c r="H42" s="3">
        <f>IF(AND($F42=0, $G42=1, $E42="[b]"), $C42,"")</f>
      </c>
      <c r="I42" s="3">
        <f>IF(AND($F42=50, $G42=1, $E42="[b]"), $C42,"")</f>
      </c>
      <c r="J42" s="3">
        <f>IF(AND($F42=100, $G42=1, $E42="[b]"), $C42,"")</f>
      </c>
      <c r="K42" s="3">
        <f>IF(AND($F42=150, $G42=1, $E42="[b]"), $C42,"")</f>
      </c>
      <c r="L42" s="3">
        <f>IF(AND($F42=0, $G42=1, $E42="[n]"), $C42,"")</f>
      </c>
      <c r="M42" s="3">
        <f>IF(AND($F42=50, $G42=1, $E42="[n]"), $C42,"")</f>
      </c>
      <c r="N42" s="3">
        <f>IF(AND($F42=100, $G42=1, $E42="[n]"), $C42,"")</f>
      </c>
      <c r="O42" s="3">
        <f>IF(AND($F42=150, $G42=1, $E42="[n]"), $C42,"")</f>
      </c>
      <c r="P42" s="3">
        <f>IF(AND($F42=0, $G42=1), $C42,"")</f>
      </c>
      <c r="Q42" s="3">
        <f>IF(AND($F42=50, $G42=1), $C42,"")</f>
      </c>
      <c r="R42" s="3">
        <f>IF(AND($F42=100, $G42=1), $C42,"")</f>
      </c>
      <c r="S42" s="3">
        <f>IF(AND($F42=150, $G42=1), $C42,"")</f>
      </c>
      <c r="T42" s="3">
        <f>IF(AND(H42&lt;(H$101+2*H$102), H42&gt;(H$101-2*H$102)), H42, "")</f>
      </c>
      <c r="U42" s="3">
        <f>IF(AND(I42&lt;(I$101+2*I$102), I42&gt;(I$101-2*I$102)), I42, "")</f>
      </c>
      <c r="V42" s="3">
        <f>IF(AND(J42&lt;(J$101+2*J$102), J42&gt;(J$101-2*J$102)), J42, "")</f>
      </c>
      <c r="W42" s="3">
        <f>IF(AND(K42&lt;(K$101+2*K$102), K42&gt;(K$101-2*K$102)), K42, "")</f>
      </c>
      <c r="X42" s="3">
        <f>IF(AND(L42&lt;(L$101+2*L$102), L42&gt;(L$101-2*L$102)), L42, "")</f>
      </c>
      <c r="Y42" s="3">
        <f>IF(AND(M42&lt;(M$101+2*M$102), M42&gt;(M$101-2*M$102)), M42, "")</f>
      </c>
      <c r="Z42" s="3">
        <f>IF(AND(N42&lt;(N$101+2*N$102), N42&gt;(N$101-2*N$102)), N42, "")</f>
      </c>
      <c r="AA42" s="3">
        <f>IF(AND(O42&lt;(O$101+2*O$102), O42&gt;(O$101-2*O$102)), O42, "")</f>
      </c>
      <c r="AB42" s="3">
        <f>IF(AND(P42&lt;(P$101+2*P$102), P42&gt;(P$101-2*P$102)), P42, "")</f>
      </c>
      <c r="AC42" s="3">
        <f>IF(AND(Q42&lt;(Q$101+2*Q$102), Q42&gt;(Q$101-2*Q$102)), Q42, "")</f>
      </c>
      <c r="AD42" s="3">
        <f>IF(AND(R42&lt;(R$101+2*R$102), R42&gt;(R$101-2*R$102)), R42, "")</f>
      </c>
      <c r="AE42" s="3">
        <f>IF(AND(S42&lt;(S$101+2*S$102), S42&gt;(S$101-2*S$102)), S42, "")</f>
      </c>
    </row>
    <row x14ac:dyDescent="0.25" r="43" customHeight="1" ht="18.75">
      <c r="A43" s="9">
        <v>39</v>
      </c>
      <c r="B43" s="2" t="s">
        <v>56</v>
      </c>
      <c r="C43" s="9">
        <v>2007</v>
      </c>
      <c r="D43" s="2" t="s">
        <v>18</v>
      </c>
      <c r="E43" s="2" t="s">
        <v>18</v>
      </c>
      <c r="F43" s="9">
        <v>0</v>
      </c>
      <c r="G43" s="9">
        <f>IF($E43=$D43, 1, 0)</f>
      </c>
      <c r="H43" s="9">
        <f>IF(AND($F43=0, $G43=1, $E43="[b]"), $C43,"")</f>
      </c>
      <c r="I43" s="3">
        <f>IF(AND($F43=50, $G43=1, $E43="[b]"), $C43,"")</f>
      </c>
      <c r="J43" s="3">
        <f>IF(AND($F43=100, $G43=1, $E43="[b]"), $C43,"")</f>
      </c>
      <c r="K43" s="3">
        <f>IF(AND($F43=150, $G43=1, $E43="[b]"), $C43,"")</f>
      </c>
      <c r="L43" s="3">
        <f>IF(AND($F43=0, $G43=1, $E43="[n]"), $C43,"")</f>
      </c>
      <c r="M43" s="3">
        <f>IF(AND($F43=50, $G43=1, $E43="[n]"), $C43,"")</f>
      </c>
      <c r="N43" s="3">
        <f>IF(AND($F43=100, $G43=1, $E43="[n]"), $C43,"")</f>
      </c>
      <c r="O43" s="3">
        <f>IF(AND($F43=150, $G43=1, $E43="[n]"), $C43,"")</f>
      </c>
      <c r="P43" s="9">
        <f>IF(AND($F43=0, $G43=1), $C43,"")</f>
      </c>
      <c r="Q43" s="3">
        <f>IF(AND($F43=50, $G43=1), $C43,"")</f>
      </c>
      <c r="R43" s="3">
        <f>IF(AND($F43=100, $G43=1), $C43,"")</f>
      </c>
      <c r="S43" s="3">
        <f>IF(AND($F43=150, $G43=1), $C43,"")</f>
      </c>
      <c r="T43" s="9">
        <f>IF(AND(H43&lt;(H$101+2*H$102), H43&gt;(H$101-2*H$102)), H43, "")</f>
      </c>
      <c r="U43" s="3">
        <f>IF(AND(I43&lt;(I$101+2*I$102), I43&gt;(I$101-2*I$102)), I43, "")</f>
      </c>
      <c r="V43" s="3">
        <f>IF(AND(J43&lt;(J$101+2*J$102), J43&gt;(J$101-2*J$102)), J43, "")</f>
      </c>
      <c r="W43" s="3">
        <f>IF(AND(K43&lt;(K$101+2*K$102), K43&gt;(K$101-2*K$102)), K43, "")</f>
      </c>
      <c r="X43" s="3">
        <f>IF(AND(L43&lt;(L$101+2*L$102), L43&gt;(L$101-2*L$102)), L43, "")</f>
      </c>
      <c r="Y43" s="3">
        <f>IF(AND(M43&lt;(M$101+2*M$102), M43&gt;(M$101-2*M$102)), M43, "")</f>
      </c>
      <c r="Z43" s="3">
        <f>IF(AND(N43&lt;(N$101+2*N$102), N43&gt;(N$101-2*N$102)), N43, "")</f>
      </c>
      <c r="AA43" s="3">
        <f>IF(AND(O43&lt;(O$101+2*O$102), O43&gt;(O$101-2*O$102)), O43, "")</f>
      </c>
      <c r="AB43" s="9">
        <f>IF(AND(P43&lt;(P$101+2*P$102), P43&gt;(P$101-2*P$102)), P43, "")</f>
      </c>
      <c r="AC43" s="3">
        <f>IF(AND(Q43&lt;(Q$101+2*Q$102), Q43&gt;(Q$101-2*Q$102)), Q43, "")</f>
      </c>
      <c r="AD43" s="3">
        <f>IF(AND(R43&lt;(R$101+2*R$102), R43&gt;(R$101-2*R$102)), R43, "")</f>
      </c>
      <c r="AE43" s="3">
        <f>IF(AND(S43&lt;(S$101+2*S$102), S43&gt;(S$101-2*S$102)), S43, "")</f>
      </c>
    </row>
    <row x14ac:dyDescent="0.25" r="44" customHeight="1" ht="18.75">
      <c r="A44" s="9">
        <v>40</v>
      </c>
      <c r="B44" s="2" t="s">
        <v>57</v>
      </c>
      <c r="C44" s="9">
        <v>4175</v>
      </c>
      <c r="D44" s="2" t="s">
        <v>15</v>
      </c>
      <c r="E44" s="2" t="s">
        <v>15</v>
      </c>
      <c r="F44" s="9">
        <v>50</v>
      </c>
      <c r="G44" s="9">
        <f>IF($E44=$D44, 1, 0)</f>
      </c>
      <c r="H44" s="3">
        <f>IF(AND($F44=0, $G44=1, $E44="[b]"), $C44,"")</f>
      </c>
      <c r="I44" s="3">
        <f>IF(AND($F44=50, $G44=1, $E44="[b]"), $C44,"")</f>
      </c>
      <c r="J44" s="3">
        <f>IF(AND($F44=100, $G44=1, $E44="[b]"), $C44,"")</f>
      </c>
      <c r="K44" s="3">
        <f>IF(AND($F44=150, $G44=1, $E44="[b]"), $C44,"")</f>
      </c>
      <c r="L44" s="3">
        <f>IF(AND($F44=0, $G44=1, $E44="[n]"), $C44,"")</f>
      </c>
      <c r="M44" s="9">
        <f>IF(AND($F44=50, $G44=1, $E44="[n]"), $C44,"")</f>
      </c>
      <c r="N44" s="3">
        <f>IF(AND($F44=100, $G44=1, $E44="[n]"), $C44,"")</f>
      </c>
      <c r="O44" s="3">
        <f>IF(AND($F44=150, $G44=1, $E44="[n]"), $C44,"")</f>
      </c>
      <c r="P44" s="3">
        <f>IF(AND($F44=0, $G44=1), $C44,"")</f>
      </c>
      <c r="Q44" s="9">
        <f>IF(AND($F44=50, $G44=1), $C44,"")</f>
      </c>
      <c r="R44" s="3">
        <f>IF(AND($F44=100, $G44=1), $C44,"")</f>
      </c>
      <c r="S44" s="3">
        <f>IF(AND($F44=150, $G44=1), $C44,"")</f>
      </c>
      <c r="T44" s="3">
        <f>IF(AND(H44&lt;(H$101+2*H$102), H44&gt;(H$101-2*H$102)), H44, "")</f>
      </c>
      <c r="U44" s="3">
        <f>IF(AND(I44&lt;(I$101+2*I$102), I44&gt;(I$101-2*I$102)), I44, "")</f>
      </c>
      <c r="V44" s="3">
        <f>IF(AND(J44&lt;(J$101+2*J$102), J44&gt;(J$101-2*J$102)), J44, "")</f>
      </c>
      <c r="W44" s="3">
        <f>IF(AND(K44&lt;(K$101+2*K$102), K44&gt;(K$101-2*K$102)), K44, "")</f>
      </c>
      <c r="X44" s="3">
        <f>IF(AND(L44&lt;(L$101+2*L$102), L44&gt;(L$101-2*L$102)), L44, "")</f>
      </c>
      <c r="Y44" s="9">
        <f>IF(AND(M44&lt;(M$101+2*M$102), M44&gt;(M$101-2*M$102)), M44, "")</f>
      </c>
      <c r="Z44" s="3">
        <f>IF(AND(N44&lt;(N$101+2*N$102), N44&gt;(N$101-2*N$102)), N44, "")</f>
      </c>
      <c r="AA44" s="3">
        <f>IF(AND(O44&lt;(O$101+2*O$102), O44&gt;(O$101-2*O$102)), O44, "")</f>
      </c>
      <c r="AB44" s="3">
        <f>IF(AND(P44&lt;(P$101+2*P$102), P44&gt;(P$101-2*P$102)), P44, "")</f>
      </c>
      <c r="AC44" s="9">
        <f>IF(AND(Q44&lt;(Q$101+2*Q$102), Q44&gt;(Q$101-2*Q$102)), Q44, "")</f>
      </c>
      <c r="AD44" s="3">
        <f>IF(AND(R44&lt;(R$101+2*R$102), R44&gt;(R$101-2*R$102)), R44, "")</f>
      </c>
      <c r="AE44" s="3">
        <f>IF(AND(S44&lt;(S$101+2*S$102), S44&gt;(S$101-2*S$102)), S44, "")</f>
      </c>
    </row>
    <row x14ac:dyDescent="0.25" r="45" customHeight="1" ht="18.75">
      <c r="A45" s="9">
        <v>41</v>
      </c>
      <c r="B45" s="2" t="s">
        <v>58</v>
      </c>
      <c r="C45" s="9">
        <v>2487</v>
      </c>
      <c r="D45" s="2" t="s">
        <v>18</v>
      </c>
      <c r="E45" s="2" t="s">
        <v>18</v>
      </c>
      <c r="F45" s="9">
        <v>150</v>
      </c>
      <c r="G45" s="9">
        <f>IF($E45=$D45, 1, 0)</f>
      </c>
      <c r="H45" s="3">
        <f>IF(AND($F45=0, $G45=1, $E45="[b]"), $C45,"")</f>
      </c>
      <c r="I45" s="3">
        <f>IF(AND($F45=50, $G45=1, $E45="[b]"), $C45,"")</f>
      </c>
      <c r="J45" s="3">
        <f>IF(AND($F45=100, $G45=1, $E45="[b]"), $C45,"")</f>
      </c>
      <c r="K45" s="9">
        <f>IF(AND($F45=150, $G45=1, $E45="[b]"), $C45,"")</f>
      </c>
      <c r="L45" s="3">
        <f>IF(AND($F45=0, $G45=1, $E45="[n]"), $C45,"")</f>
      </c>
      <c r="M45" s="3">
        <f>IF(AND($F45=50, $G45=1, $E45="[n]"), $C45,"")</f>
      </c>
      <c r="N45" s="3">
        <f>IF(AND($F45=100, $G45=1, $E45="[n]"), $C45,"")</f>
      </c>
      <c r="O45" s="3">
        <f>IF(AND($F45=150, $G45=1, $E45="[n]"), $C45,"")</f>
      </c>
      <c r="P45" s="3">
        <f>IF(AND($F45=0, $G45=1), $C45,"")</f>
      </c>
      <c r="Q45" s="3">
        <f>IF(AND($F45=50, $G45=1), $C45,"")</f>
      </c>
      <c r="R45" s="3">
        <f>IF(AND($F45=100, $G45=1), $C45,"")</f>
      </c>
      <c r="S45" s="9">
        <f>IF(AND($F45=150, $G45=1), $C45,"")</f>
      </c>
      <c r="T45" s="3">
        <f>IF(AND(H45&lt;(H$101+2*H$102), H45&gt;(H$101-2*H$102)), H45, "")</f>
      </c>
      <c r="U45" s="3">
        <f>IF(AND(I45&lt;(I$101+2*I$102), I45&gt;(I$101-2*I$102)), I45, "")</f>
      </c>
      <c r="V45" s="3">
        <f>IF(AND(J45&lt;(J$101+2*J$102), J45&gt;(J$101-2*J$102)), J45, "")</f>
      </c>
      <c r="W45" s="9">
        <f>IF(AND(K45&lt;(K$101+2*K$102), K45&gt;(K$101-2*K$102)), K45, "")</f>
      </c>
      <c r="X45" s="3">
        <f>IF(AND(L45&lt;(L$101+2*L$102), L45&gt;(L$101-2*L$102)), L45, "")</f>
      </c>
      <c r="Y45" s="3">
        <f>IF(AND(M45&lt;(M$101+2*M$102), M45&gt;(M$101-2*M$102)), M45, "")</f>
      </c>
      <c r="Z45" s="3">
        <f>IF(AND(N45&lt;(N$101+2*N$102), N45&gt;(N$101-2*N$102)), N45, "")</f>
      </c>
      <c r="AA45" s="3">
        <f>IF(AND(O45&lt;(O$101+2*O$102), O45&gt;(O$101-2*O$102)), O45, "")</f>
      </c>
      <c r="AB45" s="3">
        <f>IF(AND(P45&lt;(P$101+2*P$102), P45&gt;(P$101-2*P$102)), P45, "")</f>
      </c>
      <c r="AC45" s="3">
        <f>IF(AND(Q45&lt;(Q$101+2*Q$102), Q45&gt;(Q$101-2*Q$102)), Q45, "")</f>
      </c>
      <c r="AD45" s="3">
        <f>IF(AND(R45&lt;(R$101+2*R$102), R45&gt;(R$101-2*R$102)), R45, "")</f>
      </c>
      <c r="AE45" s="9">
        <f>IF(AND(S45&lt;(S$101+2*S$102), S45&gt;(S$101-2*S$102)), S45, "")</f>
      </c>
    </row>
    <row x14ac:dyDescent="0.25" r="46" customHeight="1" ht="18.75">
      <c r="A46" s="9">
        <v>42</v>
      </c>
      <c r="B46" s="2" t="s">
        <v>59</v>
      </c>
      <c r="C46" s="9">
        <v>4045</v>
      </c>
      <c r="D46" s="2" t="s">
        <v>15</v>
      </c>
      <c r="E46" s="2" t="s">
        <v>15</v>
      </c>
      <c r="F46" s="9">
        <v>0</v>
      </c>
      <c r="G46" s="9">
        <f>IF($E46=$D46, 1, 0)</f>
      </c>
      <c r="H46" s="3">
        <f>IF(AND($F46=0, $G46=1, $E46="[b]"), $C46,"")</f>
      </c>
      <c r="I46" s="3">
        <f>IF(AND($F46=50, $G46=1, $E46="[b]"), $C46,"")</f>
      </c>
      <c r="J46" s="3">
        <f>IF(AND($F46=100, $G46=1, $E46="[b]"), $C46,"")</f>
      </c>
      <c r="K46" s="3">
        <f>IF(AND($F46=150, $G46=1, $E46="[b]"), $C46,"")</f>
      </c>
      <c r="L46" s="9">
        <f>IF(AND($F46=0, $G46=1, $E46="[n]"), $C46,"")</f>
      </c>
      <c r="M46" s="3">
        <f>IF(AND($F46=50, $G46=1, $E46="[n]"), $C46,"")</f>
      </c>
      <c r="N46" s="3">
        <f>IF(AND($F46=100, $G46=1, $E46="[n]"), $C46,"")</f>
      </c>
      <c r="O46" s="3">
        <f>IF(AND($F46=150, $G46=1, $E46="[n]"), $C46,"")</f>
      </c>
      <c r="P46" s="9">
        <f>IF(AND($F46=0, $G46=1), $C46,"")</f>
      </c>
      <c r="Q46" s="3">
        <f>IF(AND($F46=50, $G46=1), $C46,"")</f>
      </c>
      <c r="R46" s="3">
        <f>IF(AND($F46=100, $G46=1), $C46,"")</f>
      </c>
      <c r="S46" s="3">
        <f>IF(AND($F46=150, $G46=1), $C46,"")</f>
      </c>
      <c r="T46" s="3">
        <f>IF(AND(H46&lt;(H$101+2*H$102), H46&gt;(H$101-2*H$102)), H46, "")</f>
      </c>
      <c r="U46" s="3">
        <f>IF(AND(I46&lt;(I$101+2*I$102), I46&gt;(I$101-2*I$102)), I46, "")</f>
      </c>
      <c r="V46" s="3">
        <f>IF(AND(J46&lt;(J$101+2*J$102), J46&gt;(J$101-2*J$102)), J46, "")</f>
      </c>
      <c r="W46" s="3">
        <f>IF(AND(K46&lt;(K$101+2*K$102), K46&gt;(K$101-2*K$102)), K46, "")</f>
      </c>
      <c r="X46" s="9">
        <f>IF(AND(L46&lt;(L$101+2*L$102), L46&gt;(L$101-2*L$102)), L46, "")</f>
      </c>
      <c r="Y46" s="3">
        <f>IF(AND(M46&lt;(M$101+2*M$102), M46&gt;(M$101-2*M$102)), M46, "")</f>
      </c>
      <c r="Z46" s="3">
        <f>IF(AND(N46&lt;(N$101+2*N$102), N46&gt;(N$101-2*N$102)), N46, "")</f>
      </c>
      <c r="AA46" s="3">
        <f>IF(AND(O46&lt;(O$101+2*O$102), O46&gt;(O$101-2*O$102)), O46, "")</f>
      </c>
      <c r="AB46" s="9">
        <f>IF(AND(P46&lt;(P$101+2*P$102), P46&gt;(P$101-2*P$102)), P46, "")</f>
      </c>
      <c r="AC46" s="3">
        <f>IF(AND(Q46&lt;(Q$101+2*Q$102), Q46&gt;(Q$101-2*Q$102)), Q46, "")</f>
      </c>
      <c r="AD46" s="3">
        <f>IF(AND(R46&lt;(R$101+2*R$102), R46&gt;(R$101-2*R$102)), R46, "")</f>
      </c>
      <c r="AE46" s="3">
        <f>IF(AND(S46&lt;(S$101+2*S$102), S46&gt;(S$101-2*S$102)), S46, "")</f>
      </c>
    </row>
    <row x14ac:dyDescent="0.25" r="47" customHeight="1" ht="18.75">
      <c r="A47" s="9">
        <v>43</v>
      </c>
      <c r="B47" s="2" t="s">
        <v>60</v>
      </c>
      <c r="C47" s="9">
        <v>4767</v>
      </c>
      <c r="D47" s="2" t="s">
        <v>18</v>
      </c>
      <c r="E47" s="2" t="s">
        <v>18</v>
      </c>
      <c r="F47" s="9">
        <v>100</v>
      </c>
      <c r="G47" s="9">
        <f>IF($E47=$D47, 1, 0)</f>
      </c>
      <c r="H47" s="3">
        <f>IF(AND($F47=0, $G47=1, $E47="[b]"), $C47,"")</f>
      </c>
      <c r="I47" s="3">
        <f>IF(AND($F47=50, $G47=1, $E47="[b]"), $C47,"")</f>
      </c>
      <c r="J47" s="9">
        <f>IF(AND($F47=100, $G47=1, $E47="[b]"), $C47,"")</f>
      </c>
      <c r="K47" s="3">
        <f>IF(AND($F47=150, $G47=1, $E47="[b]"), $C47,"")</f>
      </c>
      <c r="L47" s="3">
        <f>IF(AND($F47=0, $G47=1, $E47="[n]"), $C47,"")</f>
      </c>
      <c r="M47" s="3">
        <f>IF(AND($F47=50, $G47=1, $E47="[n]"), $C47,"")</f>
      </c>
      <c r="N47" s="3">
        <f>IF(AND($F47=100, $G47=1, $E47="[n]"), $C47,"")</f>
      </c>
      <c r="O47" s="3">
        <f>IF(AND($F47=150, $G47=1, $E47="[n]"), $C47,"")</f>
      </c>
      <c r="P47" s="3">
        <f>IF(AND($F47=0, $G47=1), $C47,"")</f>
      </c>
      <c r="Q47" s="3">
        <f>IF(AND($F47=50, $G47=1), $C47,"")</f>
      </c>
      <c r="R47" s="9">
        <f>IF(AND($F47=100, $G47=1), $C47,"")</f>
      </c>
      <c r="S47" s="3">
        <f>IF(AND($F47=150, $G47=1), $C47,"")</f>
      </c>
      <c r="T47" s="3">
        <f>IF(AND(H47&lt;(H$101+2*H$102), H47&gt;(H$101-2*H$102)), H47, "")</f>
      </c>
      <c r="U47" s="3">
        <f>IF(AND(I47&lt;(I$101+2*I$102), I47&gt;(I$101-2*I$102)), I47, "")</f>
      </c>
      <c r="V47" s="9">
        <f>IF(AND(J47&lt;(J$101+2*J$102), J47&gt;(J$101-2*J$102)), J47, "")</f>
      </c>
      <c r="W47" s="3">
        <f>IF(AND(K47&lt;(K$101+2*K$102), K47&gt;(K$101-2*K$102)), K47, "")</f>
      </c>
      <c r="X47" s="3">
        <f>IF(AND(L47&lt;(L$101+2*L$102), L47&gt;(L$101-2*L$102)), L47, "")</f>
      </c>
      <c r="Y47" s="3">
        <f>IF(AND(M47&lt;(M$101+2*M$102), M47&gt;(M$101-2*M$102)), M47, "")</f>
      </c>
      <c r="Z47" s="3">
        <f>IF(AND(N47&lt;(N$101+2*N$102), N47&gt;(N$101-2*N$102)), N47, "")</f>
      </c>
      <c r="AA47" s="3">
        <f>IF(AND(O47&lt;(O$101+2*O$102), O47&gt;(O$101-2*O$102)), O47, "")</f>
      </c>
      <c r="AB47" s="3">
        <f>IF(AND(P47&lt;(P$101+2*P$102), P47&gt;(P$101-2*P$102)), P47, "")</f>
      </c>
      <c r="AC47" s="3">
        <f>IF(AND(Q47&lt;(Q$101+2*Q$102), Q47&gt;(Q$101-2*Q$102)), Q47, "")</f>
      </c>
      <c r="AD47" s="9">
        <f>IF(AND(R47&lt;(R$101+2*R$102), R47&gt;(R$101-2*R$102)), R47, "")</f>
      </c>
      <c r="AE47" s="3">
        <f>IF(AND(S47&lt;(S$101+2*S$102), S47&gt;(S$101-2*S$102)), S47, "")</f>
      </c>
    </row>
    <row x14ac:dyDescent="0.25" r="48" customHeight="1" ht="18.75">
      <c r="A48" s="9">
        <v>44</v>
      </c>
      <c r="B48" s="2" t="s">
        <v>61</v>
      </c>
      <c r="C48" s="9">
        <v>3689</v>
      </c>
      <c r="D48" s="2" t="s">
        <v>15</v>
      </c>
      <c r="E48" s="2" t="s">
        <v>15</v>
      </c>
      <c r="F48" s="9">
        <v>150</v>
      </c>
      <c r="G48" s="9">
        <f>IF($E48=$D48, 1, 0)</f>
      </c>
      <c r="H48" s="3">
        <f>IF(AND($F48=0, $G48=1, $E48="[b]"), $C48,"")</f>
      </c>
      <c r="I48" s="3">
        <f>IF(AND($F48=50, $G48=1, $E48="[b]"), $C48,"")</f>
      </c>
      <c r="J48" s="3">
        <f>IF(AND($F48=100, $G48=1, $E48="[b]"), $C48,"")</f>
      </c>
      <c r="K48" s="3">
        <f>IF(AND($F48=150, $G48=1, $E48="[b]"), $C48,"")</f>
      </c>
      <c r="L48" s="3">
        <f>IF(AND($F48=0, $G48=1, $E48="[n]"), $C48,"")</f>
      </c>
      <c r="M48" s="3">
        <f>IF(AND($F48=50, $G48=1, $E48="[n]"), $C48,"")</f>
      </c>
      <c r="N48" s="3">
        <f>IF(AND($F48=100, $G48=1, $E48="[n]"), $C48,"")</f>
      </c>
      <c r="O48" s="9">
        <f>IF(AND($F48=150, $G48=1, $E48="[n]"), $C48,"")</f>
      </c>
      <c r="P48" s="3">
        <f>IF(AND($F48=0, $G48=1), $C48,"")</f>
      </c>
      <c r="Q48" s="3">
        <f>IF(AND($F48=50, $G48=1), $C48,"")</f>
      </c>
      <c r="R48" s="3">
        <f>IF(AND($F48=100, $G48=1), $C48,"")</f>
      </c>
      <c r="S48" s="9">
        <f>IF(AND($F48=150, $G48=1), $C48,"")</f>
      </c>
      <c r="T48" s="3">
        <f>IF(AND(H48&lt;(H$101+2*H$102), H48&gt;(H$101-2*H$102)), H48, "")</f>
      </c>
      <c r="U48" s="3">
        <f>IF(AND(I48&lt;(I$101+2*I$102), I48&gt;(I$101-2*I$102)), I48, "")</f>
      </c>
      <c r="V48" s="3">
        <f>IF(AND(J48&lt;(J$101+2*J$102), J48&gt;(J$101-2*J$102)), J48, "")</f>
      </c>
      <c r="W48" s="3">
        <f>IF(AND(K48&lt;(K$101+2*K$102), K48&gt;(K$101-2*K$102)), K48, "")</f>
      </c>
      <c r="X48" s="3">
        <f>IF(AND(L48&lt;(L$101+2*L$102), L48&gt;(L$101-2*L$102)), L48, "")</f>
      </c>
      <c r="Y48" s="3">
        <f>IF(AND(M48&lt;(M$101+2*M$102), M48&gt;(M$101-2*M$102)), M48, "")</f>
      </c>
      <c r="Z48" s="3">
        <f>IF(AND(N48&lt;(N$101+2*N$102), N48&gt;(N$101-2*N$102)), N48, "")</f>
      </c>
      <c r="AA48" s="9">
        <f>IF(AND(O48&lt;(O$101+2*O$102), O48&gt;(O$101-2*O$102)), O48, "")</f>
      </c>
      <c r="AB48" s="3">
        <f>IF(AND(P48&lt;(P$101+2*P$102), P48&gt;(P$101-2*P$102)), P48, "")</f>
      </c>
      <c r="AC48" s="3">
        <f>IF(AND(Q48&lt;(Q$101+2*Q$102), Q48&gt;(Q$101-2*Q$102)), Q48, "")</f>
      </c>
      <c r="AD48" s="3">
        <f>IF(AND(R48&lt;(R$101+2*R$102), R48&gt;(R$101-2*R$102)), R48, "")</f>
      </c>
      <c r="AE48" s="9">
        <f>IF(AND(S48&lt;(S$101+2*S$102), S48&gt;(S$101-2*S$102)), S48, "")</f>
      </c>
    </row>
    <row x14ac:dyDescent="0.25" r="49" customHeight="1" ht="18.75">
      <c r="A49" s="9">
        <v>45</v>
      </c>
      <c r="B49" s="2" t="s">
        <v>62</v>
      </c>
      <c r="C49" s="9">
        <v>2697</v>
      </c>
      <c r="D49" s="2" t="s">
        <v>15</v>
      </c>
      <c r="E49" s="2" t="s">
        <v>15</v>
      </c>
      <c r="F49" s="9">
        <v>50</v>
      </c>
      <c r="G49" s="9">
        <f>IF($E49=$D49, 1, 0)</f>
      </c>
      <c r="H49" s="3">
        <f>IF(AND($F49=0, $G49=1, $E49="[b]"), $C49,"")</f>
      </c>
      <c r="I49" s="3">
        <f>IF(AND($F49=50, $G49=1, $E49="[b]"), $C49,"")</f>
      </c>
      <c r="J49" s="3">
        <f>IF(AND($F49=100, $G49=1, $E49="[b]"), $C49,"")</f>
      </c>
      <c r="K49" s="3">
        <f>IF(AND($F49=150, $G49=1, $E49="[b]"), $C49,"")</f>
      </c>
      <c r="L49" s="3">
        <f>IF(AND($F49=0, $G49=1, $E49="[n]"), $C49,"")</f>
      </c>
      <c r="M49" s="9">
        <f>IF(AND($F49=50, $G49=1, $E49="[n]"), $C49,"")</f>
      </c>
      <c r="N49" s="3">
        <f>IF(AND($F49=100, $G49=1, $E49="[n]"), $C49,"")</f>
      </c>
      <c r="O49" s="3">
        <f>IF(AND($F49=150, $G49=1, $E49="[n]"), $C49,"")</f>
      </c>
      <c r="P49" s="3">
        <f>IF(AND($F49=0, $G49=1), $C49,"")</f>
      </c>
      <c r="Q49" s="9">
        <f>IF(AND($F49=50, $G49=1), $C49,"")</f>
      </c>
      <c r="R49" s="3">
        <f>IF(AND($F49=100, $G49=1), $C49,"")</f>
      </c>
      <c r="S49" s="3">
        <f>IF(AND($F49=150, $G49=1), $C49,"")</f>
      </c>
      <c r="T49" s="3">
        <f>IF(AND(H49&lt;(H$101+2*H$102), H49&gt;(H$101-2*H$102)), H49, "")</f>
      </c>
      <c r="U49" s="3">
        <f>IF(AND(I49&lt;(I$101+2*I$102), I49&gt;(I$101-2*I$102)), I49, "")</f>
      </c>
      <c r="V49" s="3">
        <f>IF(AND(J49&lt;(J$101+2*J$102), J49&gt;(J$101-2*J$102)), J49, "")</f>
      </c>
      <c r="W49" s="3">
        <f>IF(AND(K49&lt;(K$101+2*K$102), K49&gt;(K$101-2*K$102)), K49, "")</f>
      </c>
      <c r="X49" s="3">
        <f>IF(AND(L49&lt;(L$101+2*L$102), L49&gt;(L$101-2*L$102)), L49, "")</f>
      </c>
      <c r="Y49" s="9">
        <f>IF(AND(M49&lt;(M$101+2*M$102), M49&gt;(M$101-2*M$102)), M49, "")</f>
      </c>
      <c r="Z49" s="3">
        <f>IF(AND(N49&lt;(N$101+2*N$102), N49&gt;(N$101-2*N$102)), N49, "")</f>
      </c>
      <c r="AA49" s="3">
        <f>IF(AND(O49&lt;(O$101+2*O$102), O49&gt;(O$101-2*O$102)), O49, "")</f>
      </c>
      <c r="AB49" s="3">
        <f>IF(AND(P49&lt;(P$101+2*P$102), P49&gt;(P$101-2*P$102)), P49, "")</f>
      </c>
      <c r="AC49" s="9">
        <f>IF(AND(Q49&lt;(Q$101+2*Q$102), Q49&gt;(Q$101-2*Q$102)), Q49, "")</f>
      </c>
      <c r="AD49" s="3">
        <f>IF(AND(R49&lt;(R$101+2*R$102), R49&gt;(R$101-2*R$102)), R49, "")</f>
      </c>
      <c r="AE49" s="3">
        <f>IF(AND(S49&lt;(S$101+2*S$102), S49&gt;(S$101-2*S$102)), S49, "")</f>
      </c>
    </row>
    <row x14ac:dyDescent="0.25" r="50" customHeight="1" ht="18.75">
      <c r="A50" s="9">
        <v>46</v>
      </c>
      <c r="B50" s="2" t="s">
        <v>63</v>
      </c>
      <c r="C50" s="9">
        <v>6473</v>
      </c>
      <c r="D50" s="2" t="s">
        <v>15</v>
      </c>
      <c r="E50" s="2" t="s">
        <v>15</v>
      </c>
      <c r="F50" s="9">
        <v>100</v>
      </c>
      <c r="G50" s="9">
        <f>IF($E50=$D50, 1, 0)</f>
      </c>
      <c r="H50" s="3">
        <f>IF(AND($F50=0, $G50=1, $E50="[b]"), $C50,"")</f>
      </c>
      <c r="I50" s="3">
        <f>IF(AND($F50=50, $G50=1, $E50="[b]"), $C50,"")</f>
      </c>
      <c r="J50" s="3">
        <f>IF(AND($F50=100, $G50=1, $E50="[b]"), $C50,"")</f>
      </c>
      <c r="K50" s="3">
        <f>IF(AND($F50=150, $G50=1, $E50="[b]"), $C50,"")</f>
      </c>
      <c r="L50" s="3">
        <f>IF(AND($F50=0, $G50=1, $E50="[n]"), $C50,"")</f>
      </c>
      <c r="M50" s="3">
        <f>IF(AND($F50=50, $G50=1, $E50="[n]"), $C50,"")</f>
      </c>
      <c r="N50" s="9">
        <f>IF(AND($F50=100, $G50=1, $E50="[n]"), $C50,"")</f>
      </c>
      <c r="O50" s="3">
        <f>IF(AND($F50=150, $G50=1, $E50="[n]"), $C50,"")</f>
      </c>
      <c r="P50" s="3">
        <f>IF(AND($F50=0, $G50=1), $C50,"")</f>
      </c>
      <c r="Q50" s="3">
        <f>IF(AND($F50=50, $G50=1), $C50,"")</f>
      </c>
      <c r="R50" s="9">
        <f>IF(AND($F50=100, $G50=1), $C50,"")</f>
      </c>
      <c r="S50" s="3">
        <f>IF(AND($F50=150, $G50=1), $C50,"")</f>
      </c>
      <c r="T50" s="3">
        <f>IF(AND(H50&lt;(H$101+2*H$102), H50&gt;(H$101-2*H$102)), H50, "")</f>
      </c>
      <c r="U50" s="3">
        <f>IF(AND(I50&lt;(I$101+2*I$102), I50&gt;(I$101-2*I$102)), I50, "")</f>
      </c>
      <c r="V50" s="3">
        <f>IF(AND(J50&lt;(J$101+2*J$102), J50&gt;(J$101-2*J$102)), J50, "")</f>
      </c>
      <c r="W50" s="3">
        <f>IF(AND(K50&lt;(K$101+2*K$102), K50&gt;(K$101-2*K$102)), K50, "")</f>
      </c>
      <c r="X50" s="3">
        <f>IF(AND(L50&lt;(L$101+2*L$102), L50&gt;(L$101-2*L$102)), L50, "")</f>
      </c>
      <c r="Y50" s="3">
        <f>IF(AND(M50&lt;(M$101+2*M$102), M50&gt;(M$101-2*M$102)), M50, "")</f>
      </c>
      <c r="Z50" s="9">
        <f>IF(AND(N50&lt;(N$101+2*N$102), N50&gt;(N$101-2*N$102)), N50, "")</f>
      </c>
      <c r="AA50" s="3">
        <f>IF(AND(O50&lt;(O$101+2*O$102), O50&gt;(O$101-2*O$102)), O50, "")</f>
      </c>
      <c r="AB50" s="3">
        <f>IF(AND(P50&lt;(P$101+2*P$102), P50&gt;(P$101-2*P$102)), P50, "")</f>
      </c>
      <c r="AC50" s="3">
        <f>IF(AND(Q50&lt;(Q$101+2*Q$102), Q50&gt;(Q$101-2*Q$102)), Q50, "")</f>
      </c>
      <c r="AD50" s="3">
        <f>IF(AND(R50&lt;(R$101+2*R$102), R50&gt;(R$101-2*R$102)), R50, "")</f>
      </c>
      <c r="AE50" s="3">
        <f>IF(AND(S50&lt;(S$101+2*S$102), S50&gt;(S$101-2*S$102)), S50, "")</f>
      </c>
    </row>
    <row x14ac:dyDescent="0.25" r="51" customHeight="1" ht="18.75">
      <c r="A51" s="9">
        <v>47</v>
      </c>
      <c r="B51" s="2" t="s">
        <v>64</v>
      </c>
      <c r="C51" s="9">
        <v>1847</v>
      </c>
      <c r="D51" s="2" t="s">
        <v>18</v>
      </c>
      <c r="E51" s="2" t="s">
        <v>18</v>
      </c>
      <c r="F51" s="9">
        <v>0</v>
      </c>
      <c r="G51" s="9">
        <f>IF($E51=$D51, 1, 0)</f>
      </c>
      <c r="H51" s="9">
        <f>IF(AND($F51=0, $G51=1, $E51="[b]"), $C51,"")</f>
      </c>
      <c r="I51" s="3">
        <f>IF(AND($F51=50, $G51=1, $E51="[b]"), $C51,"")</f>
      </c>
      <c r="J51" s="3">
        <f>IF(AND($F51=100, $G51=1, $E51="[b]"), $C51,"")</f>
      </c>
      <c r="K51" s="3">
        <f>IF(AND($F51=150, $G51=1, $E51="[b]"), $C51,"")</f>
      </c>
      <c r="L51" s="3">
        <f>IF(AND($F51=0, $G51=1, $E51="[n]"), $C51,"")</f>
      </c>
      <c r="M51" s="3">
        <f>IF(AND($F51=50, $G51=1, $E51="[n]"), $C51,"")</f>
      </c>
      <c r="N51" s="3">
        <f>IF(AND($F51=100, $G51=1, $E51="[n]"), $C51,"")</f>
      </c>
      <c r="O51" s="3">
        <f>IF(AND($F51=150, $G51=1, $E51="[n]"), $C51,"")</f>
      </c>
      <c r="P51" s="9">
        <f>IF(AND($F51=0, $G51=1), $C51,"")</f>
      </c>
      <c r="Q51" s="3">
        <f>IF(AND($F51=50, $G51=1), $C51,"")</f>
      </c>
      <c r="R51" s="3">
        <f>IF(AND($F51=100, $G51=1), $C51,"")</f>
      </c>
      <c r="S51" s="3">
        <f>IF(AND($F51=150, $G51=1), $C51,"")</f>
      </c>
      <c r="T51" s="9">
        <f>IF(AND(H51&lt;(H$101+2*H$102), H51&gt;(H$101-2*H$102)), H51, "")</f>
      </c>
      <c r="U51" s="3">
        <f>IF(AND(I51&lt;(I$101+2*I$102), I51&gt;(I$101-2*I$102)), I51, "")</f>
      </c>
      <c r="V51" s="3">
        <f>IF(AND(J51&lt;(J$101+2*J$102), J51&gt;(J$101-2*J$102)), J51, "")</f>
      </c>
      <c r="W51" s="3">
        <f>IF(AND(K51&lt;(K$101+2*K$102), K51&gt;(K$101-2*K$102)), K51, "")</f>
      </c>
      <c r="X51" s="3">
        <f>IF(AND(L51&lt;(L$101+2*L$102), L51&gt;(L$101-2*L$102)), L51, "")</f>
      </c>
      <c r="Y51" s="3">
        <f>IF(AND(M51&lt;(M$101+2*M$102), M51&gt;(M$101-2*M$102)), M51, "")</f>
      </c>
      <c r="Z51" s="3">
        <f>IF(AND(N51&lt;(N$101+2*N$102), N51&gt;(N$101-2*N$102)), N51, "")</f>
      </c>
      <c r="AA51" s="3">
        <f>IF(AND(O51&lt;(O$101+2*O$102), O51&gt;(O$101-2*O$102)), O51, "")</f>
      </c>
      <c r="AB51" s="9">
        <f>IF(AND(P51&lt;(P$101+2*P$102), P51&gt;(P$101-2*P$102)), P51, "")</f>
      </c>
      <c r="AC51" s="3">
        <f>IF(AND(Q51&lt;(Q$101+2*Q$102), Q51&gt;(Q$101-2*Q$102)), Q51, "")</f>
      </c>
      <c r="AD51" s="3">
        <f>IF(AND(R51&lt;(R$101+2*R$102), R51&gt;(R$101-2*R$102)), R51, "")</f>
      </c>
      <c r="AE51" s="3">
        <f>IF(AND(S51&lt;(S$101+2*S$102), S51&gt;(S$101-2*S$102)), S51, "")</f>
      </c>
    </row>
    <row x14ac:dyDescent="0.25" r="52" customHeight="1" ht="18.75">
      <c r="A52" s="9">
        <v>48</v>
      </c>
      <c r="B52" s="2" t="s">
        <v>65</v>
      </c>
      <c r="C52" s="9">
        <v>1823</v>
      </c>
      <c r="D52" s="2" t="s">
        <v>18</v>
      </c>
      <c r="E52" s="2" t="s">
        <v>18</v>
      </c>
      <c r="F52" s="9">
        <v>50</v>
      </c>
      <c r="G52" s="9">
        <f>IF($E52=$D52, 1, 0)</f>
      </c>
      <c r="H52" s="3">
        <f>IF(AND($F52=0, $G52=1, $E52="[b]"), $C52,"")</f>
      </c>
      <c r="I52" s="9">
        <f>IF(AND($F52=50, $G52=1, $E52="[b]"), $C52,"")</f>
      </c>
      <c r="J52" s="3">
        <f>IF(AND($F52=100, $G52=1, $E52="[b]"), $C52,"")</f>
      </c>
      <c r="K52" s="3">
        <f>IF(AND($F52=150, $G52=1, $E52="[b]"), $C52,"")</f>
      </c>
      <c r="L52" s="3">
        <f>IF(AND($F52=0, $G52=1, $E52="[n]"), $C52,"")</f>
      </c>
      <c r="M52" s="3">
        <f>IF(AND($F52=50, $G52=1, $E52="[n]"), $C52,"")</f>
      </c>
      <c r="N52" s="3">
        <f>IF(AND($F52=100, $G52=1, $E52="[n]"), $C52,"")</f>
      </c>
      <c r="O52" s="3">
        <f>IF(AND($F52=150, $G52=1, $E52="[n]"), $C52,"")</f>
      </c>
      <c r="P52" s="3">
        <f>IF(AND($F52=0, $G52=1), $C52,"")</f>
      </c>
      <c r="Q52" s="9">
        <f>IF(AND($F52=50, $G52=1), $C52,"")</f>
      </c>
      <c r="R52" s="3">
        <f>IF(AND($F52=100, $G52=1), $C52,"")</f>
      </c>
      <c r="S52" s="3">
        <f>IF(AND($F52=150, $G52=1), $C52,"")</f>
      </c>
      <c r="T52" s="3">
        <f>IF(AND(H52&lt;(H$101+2*H$102), H52&gt;(H$101-2*H$102)), H52, "")</f>
      </c>
      <c r="U52" s="9">
        <f>IF(AND(I52&lt;(I$101+2*I$102), I52&gt;(I$101-2*I$102)), I52, "")</f>
      </c>
      <c r="V52" s="3">
        <f>IF(AND(J52&lt;(J$101+2*J$102), J52&gt;(J$101-2*J$102)), J52, "")</f>
      </c>
      <c r="W52" s="3">
        <f>IF(AND(K52&lt;(K$101+2*K$102), K52&gt;(K$101-2*K$102)), K52, "")</f>
      </c>
      <c r="X52" s="3">
        <f>IF(AND(L52&lt;(L$101+2*L$102), L52&gt;(L$101-2*L$102)), L52, "")</f>
      </c>
      <c r="Y52" s="3">
        <f>IF(AND(M52&lt;(M$101+2*M$102), M52&gt;(M$101-2*M$102)), M52, "")</f>
      </c>
      <c r="Z52" s="3">
        <f>IF(AND(N52&lt;(N$101+2*N$102), N52&gt;(N$101-2*N$102)), N52, "")</f>
      </c>
      <c r="AA52" s="3">
        <f>IF(AND(O52&lt;(O$101+2*O$102), O52&gt;(O$101-2*O$102)), O52, "")</f>
      </c>
      <c r="AB52" s="3">
        <f>IF(AND(P52&lt;(P$101+2*P$102), P52&gt;(P$101-2*P$102)), P52, "")</f>
      </c>
      <c r="AC52" s="9">
        <f>IF(AND(Q52&lt;(Q$101+2*Q$102), Q52&gt;(Q$101-2*Q$102)), Q52, "")</f>
      </c>
      <c r="AD52" s="3">
        <f>IF(AND(R52&lt;(R$101+2*R$102), R52&gt;(R$101-2*R$102)), R52, "")</f>
      </c>
      <c r="AE52" s="3">
        <f>IF(AND(S52&lt;(S$101+2*S$102), S52&gt;(S$101-2*S$102)), S52, "")</f>
      </c>
    </row>
    <row x14ac:dyDescent="0.25" r="53" customHeight="1" ht="18.75">
      <c r="A53" s="9">
        <v>49</v>
      </c>
      <c r="B53" s="2" t="s">
        <v>66</v>
      </c>
      <c r="C53" s="9">
        <v>3253</v>
      </c>
      <c r="D53" s="2" t="s">
        <v>15</v>
      </c>
      <c r="E53" s="2" t="s">
        <v>15</v>
      </c>
      <c r="F53" s="9">
        <v>100</v>
      </c>
      <c r="G53" s="9">
        <f>IF($E53=$D53, 1, 0)</f>
      </c>
      <c r="H53" s="3">
        <f>IF(AND($F53=0, $G53=1, $E53="[b]"), $C53,"")</f>
      </c>
      <c r="I53" s="3">
        <f>IF(AND($F53=50, $G53=1, $E53="[b]"), $C53,"")</f>
      </c>
      <c r="J53" s="3">
        <f>IF(AND($F53=100, $G53=1, $E53="[b]"), $C53,"")</f>
      </c>
      <c r="K53" s="3">
        <f>IF(AND($F53=150, $G53=1, $E53="[b]"), $C53,"")</f>
      </c>
      <c r="L53" s="3">
        <f>IF(AND($F53=0, $G53=1, $E53="[n]"), $C53,"")</f>
      </c>
      <c r="M53" s="3">
        <f>IF(AND($F53=50, $G53=1, $E53="[n]"), $C53,"")</f>
      </c>
      <c r="N53" s="9">
        <f>IF(AND($F53=100, $G53=1, $E53="[n]"), $C53,"")</f>
      </c>
      <c r="O53" s="3">
        <f>IF(AND($F53=150, $G53=1, $E53="[n]"), $C53,"")</f>
      </c>
      <c r="P53" s="3">
        <f>IF(AND($F53=0, $G53=1), $C53,"")</f>
      </c>
      <c r="Q53" s="3">
        <f>IF(AND($F53=50, $G53=1), $C53,"")</f>
      </c>
      <c r="R53" s="9">
        <f>IF(AND($F53=100, $G53=1), $C53,"")</f>
      </c>
      <c r="S53" s="3">
        <f>IF(AND($F53=150, $G53=1), $C53,"")</f>
      </c>
      <c r="T53" s="3">
        <f>IF(AND(H53&lt;(H$101+2*H$102), H53&gt;(H$101-2*H$102)), H53, "")</f>
      </c>
      <c r="U53" s="3">
        <f>IF(AND(I53&lt;(I$101+2*I$102), I53&gt;(I$101-2*I$102)), I53, "")</f>
      </c>
      <c r="V53" s="3">
        <f>IF(AND(J53&lt;(J$101+2*J$102), J53&gt;(J$101-2*J$102)), J53, "")</f>
      </c>
      <c r="W53" s="3">
        <f>IF(AND(K53&lt;(K$101+2*K$102), K53&gt;(K$101-2*K$102)), K53, "")</f>
      </c>
      <c r="X53" s="3">
        <f>IF(AND(L53&lt;(L$101+2*L$102), L53&gt;(L$101-2*L$102)), L53, "")</f>
      </c>
      <c r="Y53" s="3">
        <f>IF(AND(M53&lt;(M$101+2*M$102), M53&gt;(M$101-2*M$102)), M53, "")</f>
      </c>
      <c r="Z53" s="9">
        <f>IF(AND(N53&lt;(N$101+2*N$102), N53&gt;(N$101-2*N$102)), N53, "")</f>
      </c>
      <c r="AA53" s="3">
        <f>IF(AND(O53&lt;(O$101+2*O$102), O53&gt;(O$101-2*O$102)), O53, "")</f>
      </c>
      <c r="AB53" s="3">
        <f>IF(AND(P53&lt;(P$101+2*P$102), P53&gt;(P$101-2*P$102)), P53, "")</f>
      </c>
      <c r="AC53" s="3">
        <f>IF(AND(Q53&lt;(Q$101+2*Q$102), Q53&gt;(Q$101-2*Q$102)), Q53, "")</f>
      </c>
      <c r="AD53" s="9">
        <f>IF(AND(R53&lt;(R$101+2*R$102), R53&gt;(R$101-2*R$102)), R53, "")</f>
      </c>
      <c r="AE53" s="3">
        <f>IF(AND(S53&lt;(S$101+2*S$102), S53&gt;(S$101-2*S$102)), S53, "")</f>
      </c>
    </row>
    <row x14ac:dyDescent="0.25" r="54" customHeight="1" ht="18.75">
      <c r="A54" s="9">
        <v>50</v>
      </c>
      <c r="B54" s="2" t="s">
        <v>67</v>
      </c>
      <c r="C54" s="9">
        <v>2401</v>
      </c>
      <c r="D54" s="2" t="s">
        <v>15</v>
      </c>
      <c r="E54" s="2" t="s">
        <v>15</v>
      </c>
      <c r="F54" s="9">
        <v>150</v>
      </c>
      <c r="G54" s="9">
        <f>IF($E54=$D54, 1, 0)</f>
      </c>
      <c r="H54" s="3">
        <f>IF(AND($F54=0, $G54=1, $E54="[b]"), $C54,"")</f>
      </c>
      <c r="I54" s="3">
        <f>IF(AND($F54=50, $G54=1, $E54="[b]"), $C54,"")</f>
      </c>
      <c r="J54" s="3">
        <f>IF(AND($F54=100, $G54=1, $E54="[b]"), $C54,"")</f>
      </c>
      <c r="K54" s="3">
        <f>IF(AND($F54=150, $G54=1, $E54="[b]"), $C54,"")</f>
      </c>
      <c r="L54" s="3">
        <f>IF(AND($F54=0, $G54=1, $E54="[n]"), $C54,"")</f>
      </c>
      <c r="M54" s="3">
        <f>IF(AND($F54=50, $G54=1, $E54="[n]"), $C54,"")</f>
      </c>
      <c r="N54" s="3">
        <f>IF(AND($F54=100, $G54=1, $E54="[n]"), $C54,"")</f>
      </c>
      <c r="O54" s="9">
        <f>IF(AND($F54=150, $G54=1, $E54="[n]"), $C54,"")</f>
      </c>
      <c r="P54" s="3">
        <f>IF(AND($F54=0, $G54=1), $C54,"")</f>
      </c>
      <c r="Q54" s="3">
        <f>IF(AND($F54=50, $G54=1), $C54,"")</f>
      </c>
      <c r="R54" s="3">
        <f>IF(AND($F54=100, $G54=1), $C54,"")</f>
      </c>
      <c r="S54" s="9">
        <f>IF(AND($F54=150, $G54=1), $C54,"")</f>
      </c>
      <c r="T54" s="3">
        <f>IF(AND(H54&lt;(H$101+2*H$102), H54&gt;(H$101-2*H$102)), H54, "")</f>
      </c>
      <c r="U54" s="3">
        <f>IF(AND(I54&lt;(I$101+2*I$102), I54&gt;(I$101-2*I$102)), I54, "")</f>
      </c>
      <c r="V54" s="3">
        <f>IF(AND(J54&lt;(J$101+2*J$102), J54&gt;(J$101-2*J$102)), J54, "")</f>
      </c>
      <c r="W54" s="3">
        <f>IF(AND(K54&lt;(K$101+2*K$102), K54&gt;(K$101-2*K$102)), K54, "")</f>
      </c>
      <c r="X54" s="3">
        <f>IF(AND(L54&lt;(L$101+2*L$102), L54&gt;(L$101-2*L$102)), L54, "")</f>
      </c>
      <c r="Y54" s="3">
        <f>IF(AND(M54&lt;(M$101+2*M$102), M54&gt;(M$101-2*M$102)), M54, "")</f>
      </c>
      <c r="Z54" s="3">
        <f>IF(AND(N54&lt;(N$101+2*N$102), N54&gt;(N$101-2*N$102)), N54, "")</f>
      </c>
      <c r="AA54" s="9">
        <f>IF(AND(O54&lt;(O$101+2*O$102), O54&gt;(O$101-2*O$102)), O54, "")</f>
      </c>
      <c r="AB54" s="3">
        <f>IF(AND(P54&lt;(P$101+2*P$102), P54&gt;(P$101-2*P$102)), P54, "")</f>
      </c>
      <c r="AC54" s="3">
        <f>IF(AND(Q54&lt;(Q$101+2*Q$102), Q54&gt;(Q$101-2*Q$102)), Q54, "")</f>
      </c>
      <c r="AD54" s="3">
        <f>IF(AND(R54&lt;(R$101+2*R$102), R54&gt;(R$101-2*R$102)), R54, "")</f>
      </c>
      <c r="AE54" s="9">
        <f>IF(AND(S54&lt;(S$101+2*S$102), S54&gt;(S$101-2*S$102)), S54, "")</f>
      </c>
    </row>
    <row x14ac:dyDescent="0.25" r="55" customHeight="1" ht="18.75">
      <c r="A55" s="9">
        <v>51</v>
      </c>
      <c r="B55" s="2" t="s">
        <v>68</v>
      </c>
      <c r="C55" s="9">
        <v>1509</v>
      </c>
      <c r="D55" s="2" t="s">
        <v>18</v>
      </c>
      <c r="E55" s="2" t="s">
        <v>18</v>
      </c>
      <c r="F55" s="9">
        <v>0</v>
      </c>
      <c r="G55" s="9">
        <f>IF($E55=$D55, 1, 0)</f>
      </c>
      <c r="H55" s="9">
        <f>IF(AND($F55=0, $G55=1, $E55="[b]"), $C55,"")</f>
      </c>
      <c r="I55" s="3">
        <f>IF(AND($F55=50, $G55=1, $E55="[b]"), $C55,"")</f>
      </c>
      <c r="J55" s="3">
        <f>IF(AND($F55=100, $G55=1, $E55="[b]"), $C55,"")</f>
      </c>
      <c r="K55" s="3">
        <f>IF(AND($F55=150, $G55=1, $E55="[b]"), $C55,"")</f>
      </c>
      <c r="L55" s="3">
        <f>IF(AND($F55=0, $G55=1, $E55="[n]"), $C55,"")</f>
      </c>
      <c r="M55" s="3">
        <f>IF(AND($F55=50, $G55=1, $E55="[n]"), $C55,"")</f>
      </c>
      <c r="N55" s="3">
        <f>IF(AND($F55=100, $G55=1, $E55="[n]"), $C55,"")</f>
      </c>
      <c r="O55" s="3">
        <f>IF(AND($F55=150, $G55=1, $E55="[n]"), $C55,"")</f>
      </c>
      <c r="P55" s="9">
        <f>IF(AND($F55=0, $G55=1), $C55,"")</f>
      </c>
      <c r="Q55" s="3">
        <f>IF(AND($F55=50, $G55=1), $C55,"")</f>
      </c>
      <c r="R55" s="3">
        <f>IF(AND($F55=100, $G55=1), $C55,"")</f>
      </c>
      <c r="S55" s="3">
        <f>IF(AND($F55=150, $G55=1), $C55,"")</f>
      </c>
      <c r="T55" s="9">
        <f>IF(AND(H55&lt;(H$101+2*H$102), H55&gt;(H$101-2*H$102)), H55, "")</f>
      </c>
      <c r="U55" s="3">
        <f>IF(AND(I55&lt;(I$101+2*I$102), I55&gt;(I$101-2*I$102)), I55, "")</f>
      </c>
      <c r="V55" s="3">
        <f>IF(AND(J55&lt;(J$101+2*J$102), J55&gt;(J$101-2*J$102)), J55, "")</f>
      </c>
      <c r="W55" s="3">
        <f>IF(AND(K55&lt;(K$101+2*K$102), K55&gt;(K$101-2*K$102)), K55, "")</f>
      </c>
      <c r="X55" s="3">
        <f>IF(AND(L55&lt;(L$101+2*L$102), L55&gt;(L$101-2*L$102)), L55, "")</f>
      </c>
      <c r="Y55" s="3">
        <f>IF(AND(M55&lt;(M$101+2*M$102), M55&gt;(M$101-2*M$102)), M55, "")</f>
      </c>
      <c r="Z55" s="3">
        <f>IF(AND(N55&lt;(N$101+2*N$102), N55&gt;(N$101-2*N$102)), N55, "")</f>
      </c>
      <c r="AA55" s="3">
        <f>IF(AND(O55&lt;(O$101+2*O$102), O55&gt;(O$101-2*O$102)), O55, "")</f>
      </c>
      <c r="AB55" s="9">
        <f>IF(AND(P55&lt;(P$101+2*P$102), P55&gt;(P$101-2*P$102)), P55, "")</f>
      </c>
      <c r="AC55" s="3">
        <f>IF(AND(Q55&lt;(Q$101+2*Q$102), Q55&gt;(Q$101-2*Q$102)), Q55, "")</f>
      </c>
      <c r="AD55" s="3">
        <f>IF(AND(R55&lt;(R$101+2*R$102), R55&gt;(R$101-2*R$102)), R55, "")</f>
      </c>
      <c r="AE55" s="3">
        <f>IF(AND(S55&lt;(S$101+2*S$102), S55&gt;(S$101-2*S$102)), S55, "")</f>
      </c>
    </row>
    <row x14ac:dyDescent="0.25" r="56" customHeight="1" ht="18.75">
      <c r="A56" s="9">
        <v>52</v>
      </c>
      <c r="B56" s="2" t="s">
        <v>69</v>
      </c>
      <c r="C56" s="9">
        <v>2374</v>
      </c>
      <c r="D56" s="2" t="s">
        <v>15</v>
      </c>
      <c r="E56" s="2" t="s">
        <v>15</v>
      </c>
      <c r="F56" s="9">
        <v>0</v>
      </c>
      <c r="G56" s="9">
        <f>IF($E56=$D56, 1, 0)</f>
      </c>
      <c r="H56" s="3">
        <f>IF(AND($F56=0, $G56=1, $E56="[b]"), $C56,"")</f>
      </c>
      <c r="I56" s="3">
        <f>IF(AND($F56=50, $G56=1, $E56="[b]"), $C56,"")</f>
      </c>
      <c r="J56" s="3">
        <f>IF(AND($F56=100, $G56=1, $E56="[b]"), $C56,"")</f>
      </c>
      <c r="K56" s="3">
        <f>IF(AND($F56=150, $G56=1, $E56="[b]"), $C56,"")</f>
      </c>
      <c r="L56" s="9">
        <f>IF(AND($F56=0, $G56=1, $E56="[n]"), $C56,"")</f>
      </c>
      <c r="M56" s="3">
        <f>IF(AND($F56=50, $G56=1, $E56="[n]"), $C56,"")</f>
      </c>
      <c r="N56" s="3">
        <f>IF(AND($F56=100, $G56=1, $E56="[n]"), $C56,"")</f>
      </c>
      <c r="O56" s="3">
        <f>IF(AND($F56=150, $G56=1, $E56="[n]"), $C56,"")</f>
      </c>
      <c r="P56" s="9">
        <f>IF(AND($F56=0, $G56=1), $C56,"")</f>
      </c>
      <c r="Q56" s="3">
        <f>IF(AND($F56=50, $G56=1), $C56,"")</f>
      </c>
      <c r="R56" s="3">
        <f>IF(AND($F56=100, $G56=1), $C56,"")</f>
      </c>
      <c r="S56" s="3">
        <f>IF(AND($F56=150, $G56=1), $C56,"")</f>
      </c>
      <c r="T56" s="3">
        <f>IF(AND(H56&lt;(H$101+2*H$102), H56&gt;(H$101-2*H$102)), H56, "")</f>
      </c>
      <c r="U56" s="3">
        <f>IF(AND(I56&lt;(I$101+2*I$102), I56&gt;(I$101-2*I$102)), I56, "")</f>
      </c>
      <c r="V56" s="3">
        <f>IF(AND(J56&lt;(J$101+2*J$102), J56&gt;(J$101-2*J$102)), J56, "")</f>
      </c>
      <c r="W56" s="3">
        <f>IF(AND(K56&lt;(K$101+2*K$102), K56&gt;(K$101-2*K$102)), K56, "")</f>
      </c>
      <c r="X56" s="9">
        <f>IF(AND(L56&lt;(L$101+2*L$102), L56&gt;(L$101-2*L$102)), L56, "")</f>
      </c>
      <c r="Y56" s="3">
        <f>IF(AND(M56&lt;(M$101+2*M$102), M56&gt;(M$101-2*M$102)), M56, "")</f>
      </c>
      <c r="Z56" s="3">
        <f>IF(AND(N56&lt;(N$101+2*N$102), N56&gt;(N$101-2*N$102)), N56, "")</f>
      </c>
      <c r="AA56" s="3">
        <f>IF(AND(O56&lt;(O$101+2*O$102), O56&gt;(O$101-2*O$102)), O56, "")</f>
      </c>
      <c r="AB56" s="9">
        <f>IF(AND(P56&lt;(P$101+2*P$102), P56&gt;(P$101-2*P$102)), P56, "")</f>
      </c>
      <c r="AC56" s="3">
        <f>IF(AND(Q56&lt;(Q$101+2*Q$102), Q56&gt;(Q$101-2*Q$102)), Q56, "")</f>
      </c>
      <c r="AD56" s="3">
        <f>IF(AND(R56&lt;(R$101+2*R$102), R56&gt;(R$101-2*R$102)), R56, "")</f>
      </c>
      <c r="AE56" s="3">
        <f>IF(AND(S56&lt;(S$101+2*S$102), S56&gt;(S$101-2*S$102)), S56, "")</f>
      </c>
    </row>
    <row x14ac:dyDescent="0.25" r="57" customHeight="1" ht="18.75">
      <c r="A57" s="9">
        <v>53</v>
      </c>
      <c r="B57" s="2" t="s">
        <v>70</v>
      </c>
      <c r="C57" s="9">
        <v>2632</v>
      </c>
      <c r="D57" s="2" t="s">
        <v>18</v>
      </c>
      <c r="E57" s="2" t="s">
        <v>18</v>
      </c>
      <c r="F57" s="9">
        <v>100</v>
      </c>
      <c r="G57" s="9">
        <f>IF($E57=$D57, 1, 0)</f>
      </c>
      <c r="H57" s="3">
        <f>IF(AND($F57=0, $G57=1, $E57="[b]"), $C57,"")</f>
      </c>
      <c r="I57" s="3">
        <f>IF(AND($F57=50, $G57=1, $E57="[b]"), $C57,"")</f>
      </c>
      <c r="J57" s="9">
        <f>IF(AND($F57=100, $G57=1, $E57="[b]"), $C57,"")</f>
      </c>
      <c r="K57" s="3">
        <f>IF(AND($F57=150, $G57=1, $E57="[b]"), $C57,"")</f>
      </c>
      <c r="L57" s="3">
        <f>IF(AND($F57=0, $G57=1, $E57="[n]"), $C57,"")</f>
      </c>
      <c r="M57" s="3">
        <f>IF(AND($F57=50, $G57=1, $E57="[n]"), $C57,"")</f>
      </c>
      <c r="N57" s="3">
        <f>IF(AND($F57=100, $G57=1, $E57="[n]"), $C57,"")</f>
      </c>
      <c r="O57" s="3">
        <f>IF(AND($F57=150, $G57=1, $E57="[n]"), $C57,"")</f>
      </c>
      <c r="P57" s="3">
        <f>IF(AND($F57=0, $G57=1), $C57,"")</f>
      </c>
      <c r="Q57" s="3">
        <f>IF(AND($F57=50, $G57=1), $C57,"")</f>
      </c>
      <c r="R57" s="9">
        <f>IF(AND($F57=100, $G57=1), $C57,"")</f>
      </c>
      <c r="S57" s="3">
        <f>IF(AND($F57=150, $G57=1), $C57,"")</f>
      </c>
      <c r="T57" s="3">
        <f>IF(AND(H57&lt;(H$101+2*H$102), H57&gt;(H$101-2*H$102)), H57, "")</f>
      </c>
      <c r="U57" s="3">
        <f>IF(AND(I57&lt;(I$101+2*I$102), I57&gt;(I$101-2*I$102)), I57, "")</f>
      </c>
      <c r="V57" s="9">
        <f>IF(AND(J57&lt;(J$101+2*J$102), J57&gt;(J$101-2*J$102)), J57, "")</f>
      </c>
      <c r="W57" s="3">
        <f>IF(AND(K57&lt;(K$101+2*K$102), K57&gt;(K$101-2*K$102)), K57, "")</f>
      </c>
      <c r="X57" s="3">
        <f>IF(AND(L57&lt;(L$101+2*L$102), L57&gt;(L$101-2*L$102)), L57, "")</f>
      </c>
      <c r="Y57" s="3">
        <f>IF(AND(M57&lt;(M$101+2*M$102), M57&gt;(M$101-2*M$102)), M57, "")</f>
      </c>
      <c r="Z57" s="3">
        <f>IF(AND(N57&lt;(N$101+2*N$102), N57&gt;(N$101-2*N$102)), N57, "")</f>
      </c>
      <c r="AA57" s="3">
        <f>IF(AND(O57&lt;(O$101+2*O$102), O57&gt;(O$101-2*O$102)), O57, "")</f>
      </c>
      <c r="AB57" s="3">
        <f>IF(AND(P57&lt;(P$101+2*P$102), P57&gt;(P$101-2*P$102)), P57, "")</f>
      </c>
      <c r="AC57" s="3">
        <f>IF(AND(Q57&lt;(Q$101+2*Q$102), Q57&gt;(Q$101-2*Q$102)), Q57, "")</f>
      </c>
      <c r="AD57" s="9">
        <f>IF(AND(R57&lt;(R$101+2*R$102), R57&gt;(R$101-2*R$102)), R57, "")</f>
      </c>
      <c r="AE57" s="3">
        <f>IF(AND(S57&lt;(S$101+2*S$102), S57&gt;(S$101-2*S$102)), S57, "")</f>
      </c>
    </row>
    <row x14ac:dyDescent="0.25" r="58" customHeight="1" ht="18.75">
      <c r="A58" s="9">
        <v>54</v>
      </c>
      <c r="B58" s="2" t="s">
        <v>71</v>
      </c>
      <c r="C58" s="9">
        <v>2568</v>
      </c>
      <c r="D58" s="2" t="s">
        <v>15</v>
      </c>
      <c r="E58" s="2" t="s">
        <v>15</v>
      </c>
      <c r="F58" s="9">
        <v>50</v>
      </c>
      <c r="G58" s="9">
        <f>IF($E58=$D58, 1, 0)</f>
      </c>
      <c r="H58" s="3">
        <f>IF(AND($F58=0, $G58=1, $E58="[b]"), $C58,"")</f>
      </c>
      <c r="I58" s="3">
        <f>IF(AND($F58=50, $G58=1, $E58="[b]"), $C58,"")</f>
      </c>
      <c r="J58" s="3">
        <f>IF(AND($F58=100, $G58=1, $E58="[b]"), $C58,"")</f>
      </c>
      <c r="K58" s="3">
        <f>IF(AND($F58=150, $G58=1, $E58="[b]"), $C58,"")</f>
      </c>
      <c r="L58" s="3">
        <f>IF(AND($F58=0, $G58=1, $E58="[n]"), $C58,"")</f>
      </c>
      <c r="M58" s="9">
        <f>IF(AND($F58=50, $G58=1, $E58="[n]"), $C58,"")</f>
      </c>
      <c r="N58" s="3">
        <f>IF(AND($F58=100, $G58=1, $E58="[n]"), $C58,"")</f>
      </c>
      <c r="O58" s="3">
        <f>IF(AND($F58=150, $G58=1, $E58="[n]"), $C58,"")</f>
      </c>
      <c r="P58" s="3">
        <f>IF(AND($F58=0, $G58=1), $C58,"")</f>
      </c>
      <c r="Q58" s="9">
        <f>IF(AND($F58=50, $G58=1), $C58,"")</f>
      </c>
      <c r="R58" s="3">
        <f>IF(AND($F58=100, $G58=1), $C58,"")</f>
      </c>
      <c r="S58" s="3">
        <f>IF(AND($F58=150, $G58=1), $C58,"")</f>
      </c>
      <c r="T58" s="3">
        <f>IF(AND(H58&lt;(H$101+2*H$102), H58&gt;(H$101-2*H$102)), H58, "")</f>
      </c>
      <c r="U58" s="3">
        <f>IF(AND(I58&lt;(I$101+2*I$102), I58&gt;(I$101-2*I$102)), I58, "")</f>
      </c>
      <c r="V58" s="3">
        <f>IF(AND(J58&lt;(J$101+2*J$102), J58&gt;(J$101-2*J$102)), J58, "")</f>
      </c>
      <c r="W58" s="3">
        <f>IF(AND(K58&lt;(K$101+2*K$102), K58&gt;(K$101-2*K$102)), K58, "")</f>
      </c>
      <c r="X58" s="3">
        <f>IF(AND(L58&lt;(L$101+2*L$102), L58&gt;(L$101-2*L$102)), L58, "")</f>
      </c>
      <c r="Y58" s="9">
        <f>IF(AND(M58&lt;(M$101+2*M$102), M58&gt;(M$101-2*M$102)), M58, "")</f>
      </c>
      <c r="Z58" s="3">
        <f>IF(AND(N58&lt;(N$101+2*N$102), N58&gt;(N$101-2*N$102)), N58, "")</f>
      </c>
      <c r="AA58" s="3">
        <f>IF(AND(O58&lt;(O$101+2*O$102), O58&gt;(O$101-2*O$102)), O58, "")</f>
      </c>
      <c r="AB58" s="3">
        <f>IF(AND(P58&lt;(P$101+2*P$102), P58&gt;(P$101-2*P$102)), P58, "")</f>
      </c>
      <c r="AC58" s="9">
        <f>IF(AND(Q58&lt;(Q$101+2*Q$102), Q58&gt;(Q$101-2*Q$102)), Q58, "")</f>
      </c>
      <c r="AD58" s="3">
        <f>IF(AND(R58&lt;(R$101+2*R$102), R58&gt;(R$101-2*R$102)), R58, "")</f>
      </c>
      <c r="AE58" s="3">
        <f>IF(AND(S58&lt;(S$101+2*S$102), S58&gt;(S$101-2*S$102)), S58, "")</f>
      </c>
    </row>
    <row x14ac:dyDescent="0.25" r="59" customHeight="1" ht="18.75">
      <c r="A59" s="9">
        <v>55</v>
      </c>
      <c r="B59" s="2" t="s">
        <v>72</v>
      </c>
      <c r="C59" s="9">
        <v>4874</v>
      </c>
      <c r="D59" s="2" t="s">
        <v>18</v>
      </c>
      <c r="E59" s="2" t="s">
        <v>18</v>
      </c>
      <c r="F59" s="9">
        <v>150</v>
      </c>
      <c r="G59" s="9">
        <f>IF($E59=$D59, 1, 0)</f>
      </c>
      <c r="H59" s="3">
        <f>IF(AND($F59=0, $G59=1, $E59="[b]"), $C59,"")</f>
      </c>
      <c r="I59" s="3">
        <f>IF(AND($F59=50, $G59=1, $E59="[b]"), $C59,"")</f>
      </c>
      <c r="J59" s="3">
        <f>IF(AND($F59=100, $G59=1, $E59="[b]"), $C59,"")</f>
      </c>
      <c r="K59" s="9">
        <f>IF(AND($F59=150, $G59=1, $E59="[b]"), $C59,"")</f>
      </c>
      <c r="L59" s="3">
        <f>IF(AND($F59=0, $G59=1, $E59="[n]"), $C59,"")</f>
      </c>
      <c r="M59" s="3">
        <f>IF(AND($F59=50, $G59=1, $E59="[n]"), $C59,"")</f>
      </c>
      <c r="N59" s="3">
        <f>IF(AND($F59=100, $G59=1, $E59="[n]"), $C59,"")</f>
      </c>
      <c r="O59" s="3">
        <f>IF(AND($F59=150, $G59=1, $E59="[n]"), $C59,"")</f>
      </c>
      <c r="P59" s="3">
        <f>IF(AND($F59=0, $G59=1), $C59,"")</f>
      </c>
      <c r="Q59" s="3">
        <f>IF(AND($F59=50, $G59=1), $C59,"")</f>
      </c>
      <c r="R59" s="3">
        <f>IF(AND($F59=100, $G59=1), $C59,"")</f>
      </c>
      <c r="S59" s="9">
        <f>IF(AND($F59=150, $G59=1), $C59,"")</f>
      </c>
      <c r="T59" s="3">
        <f>IF(AND(H59&lt;(H$101+2*H$102), H59&gt;(H$101-2*H$102)), H59, "")</f>
      </c>
      <c r="U59" s="3">
        <f>IF(AND(I59&lt;(I$101+2*I$102), I59&gt;(I$101-2*I$102)), I59, "")</f>
      </c>
      <c r="V59" s="3">
        <f>IF(AND(J59&lt;(J$101+2*J$102), J59&gt;(J$101-2*J$102)), J59, "")</f>
      </c>
      <c r="W59" s="3">
        <f>IF(AND(K59&lt;(K$101+2*K$102), K59&gt;(K$101-2*K$102)), K59, "")</f>
      </c>
      <c r="X59" s="3">
        <f>IF(AND(L59&lt;(L$101+2*L$102), L59&gt;(L$101-2*L$102)), L59, "")</f>
      </c>
      <c r="Y59" s="3">
        <f>IF(AND(M59&lt;(M$101+2*M$102), M59&gt;(M$101-2*M$102)), M59, "")</f>
      </c>
      <c r="Z59" s="3">
        <f>IF(AND(N59&lt;(N$101+2*N$102), N59&gt;(N$101-2*N$102)), N59, "")</f>
      </c>
      <c r="AA59" s="3">
        <f>IF(AND(O59&lt;(O$101+2*O$102), O59&gt;(O$101-2*O$102)), O59, "")</f>
      </c>
      <c r="AB59" s="3">
        <f>IF(AND(P59&lt;(P$101+2*P$102), P59&gt;(P$101-2*P$102)), P59, "")</f>
      </c>
      <c r="AC59" s="3">
        <f>IF(AND(Q59&lt;(Q$101+2*Q$102), Q59&gt;(Q$101-2*Q$102)), Q59, "")</f>
      </c>
      <c r="AD59" s="3">
        <f>IF(AND(R59&lt;(R$101+2*R$102), R59&gt;(R$101-2*R$102)), R59, "")</f>
      </c>
      <c r="AE59" s="9">
        <f>IF(AND(S59&lt;(S$101+2*S$102), S59&gt;(S$101-2*S$102)), S59, "")</f>
      </c>
    </row>
    <row x14ac:dyDescent="0.25" r="60" customHeight="1" ht="18.75">
      <c r="A60" s="9">
        <v>56</v>
      </c>
      <c r="B60" s="2" t="s">
        <v>73</v>
      </c>
      <c r="C60" s="9">
        <v>2280</v>
      </c>
      <c r="D60" s="2" t="s">
        <v>18</v>
      </c>
      <c r="E60" s="2" t="s">
        <v>18</v>
      </c>
      <c r="F60" s="9">
        <v>50</v>
      </c>
      <c r="G60" s="9">
        <f>IF($E60=$D60, 1, 0)</f>
      </c>
      <c r="H60" s="3">
        <f>IF(AND($F60=0, $G60=1, $E60="[b]"), $C60,"")</f>
      </c>
      <c r="I60" s="9">
        <f>IF(AND($F60=50, $G60=1, $E60="[b]"), $C60,"")</f>
      </c>
      <c r="J60" s="3">
        <f>IF(AND($F60=100, $G60=1, $E60="[b]"), $C60,"")</f>
      </c>
      <c r="K60" s="3">
        <f>IF(AND($F60=150, $G60=1, $E60="[b]"), $C60,"")</f>
      </c>
      <c r="L60" s="3">
        <f>IF(AND($F60=0, $G60=1, $E60="[n]"), $C60,"")</f>
      </c>
      <c r="M60" s="3">
        <f>IF(AND($F60=50, $G60=1, $E60="[n]"), $C60,"")</f>
      </c>
      <c r="N60" s="3">
        <f>IF(AND($F60=100, $G60=1, $E60="[n]"), $C60,"")</f>
      </c>
      <c r="O60" s="3">
        <f>IF(AND($F60=150, $G60=1, $E60="[n]"), $C60,"")</f>
      </c>
      <c r="P60" s="3">
        <f>IF(AND($F60=0, $G60=1), $C60,"")</f>
      </c>
      <c r="Q60" s="9">
        <f>IF(AND($F60=50, $G60=1), $C60,"")</f>
      </c>
      <c r="R60" s="3">
        <f>IF(AND($F60=100, $G60=1), $C60,"")</f>
      </c>
      <c r="S60" s="3">
        <f>IF(AND($F60=150, $G60=1), $C60,"")</f>
      </c>
      <c r="T60" s="3">
        <f>IF(AND(H60&lt;(H$101+2*H$102), H60&gt;(H$101-2*H$102)), H60, "")</f>
      </c>
      <c r="U60" s="9">
        <f>IF(AND(I60&lt;(I$101+2*I$102), I60&gt;(I$101-2*I$102)), I60, "")</f>
      </c>
      <c r="V60" s="3">
        <f>IF(AND(J60&lt;(J$101+2*J$102), J60&gt;(J$101-2*J$102)), J60, "")</f>
      </c>
      <c r="W60" s="3">
        <f>IF(AND(K60&lt;(K$101+2*K$102), K60&gt;(K$101-2*K$102)), K60, "")</f>
      </c>
      <c r="X60" s="3">
        <f>IF(AND(L60&lt;(L$101+2*L$102), L60&gt;(L$101-2*L$102)), L60, "")</f>
      </c>
      <c r="Y60" s="3">
        <f>IF(AND(M60&lt;(M$101+2*M$102), M60&gt;(M$101-2*M$102)), M60, "")</f>
      </c>
      <c r="Z60" s="3">
        <f>IF(AND(N60&lt;(N$101+2*N$102), N60&gt;(N$101-2*N$102)), N60, "")</f>
      </c>
      <c r="AA60" s="3">
        <f>IF(AND(O60&lt;(O$101+2*O$102), O60&gt;(O$101-2*O$102)), O60, "")</f>
      </c>
      <c r="AB60" s="3">
        <f>IF(AND(P60&lt;(P$101+2*P$102), P60&gt;(P$101-2*P$102)), P60, "")</f>
      </c>
      <c r="AC60" s="9">
        <f>IF(AND(Q60&lt;(Q$101+2*Q$102), Q60&gt;(Q$101-2*Q$102)), Q60, "")</f>
      </c>
      <c r="AD60" s="3">
        <f>IF(AND(R60&lt;(R$101+2*R$102), R60&gt;(R$101-2*R$102)), R60, "")</f>
      </c>
      <c r="AE60" s="3">
        <f>IF(AND(S60&lt;(S$101+2*S$102), S60&gt;(S$101-2*S$102)), S60, "")</f>
      </c>
    </row>
    <row x14ac:dyDescent="0.25" r="61" customHeight="1" ht="18.75">
      <c r="A61" s="9">
        <v>57</v>
      </c>
      <c r="B61" s="2" t="s">
        <v>74</v>
      </c>
      <c r="C61" s="9">
        <v>2148</v>
      </c>
      <c r="D61" s="2" t="s">
        <v>15</v>
      </c>
      <c r="E61" s="2" t="s">
        <v>15</v>
      </c>
      <c r="F61" s="9">
        <v>150</v>
      </c>
      <c r="G61" s="9">
        <f>IF($E61=$D61, 1, 0)</f>
      </c>
      <c r="H61" s="3">
        <f>IF(AND($F61=0, $G61=1, $E61="[b]"), $C61,"")</f>
      </c>
      <c r="I61" s="3">
        <f>IF(AND($F61=50, $G61=1, $E61="[b]"), $C61,"")</f>
      </c>
      <c r="J61" s="3">
        <f>IF(AND($F61=100, $G61=1, $E61="[b]"), $C61,"")</f>
      </c>
      <c r="K61" s="3">
        <f>IF(AND($F61=150, $G61=1, $E61="[b]"), $C61,"")</f>
      </c>
      <c r="L61" s="3">
        <f>IF(AND($F61=0, $G61=1, $E61="[n]"), $C61,"")</f>
      </c>
      <c r="M61" s="3">
        <f>IF(AND($F61=50, $G61=1, $E61="[n]"), $C61,"")</f>
      </c>
      <c r="N61" s="3">
        <f>IF(AND($F61=100, $G61=1, $E61="[n]"), $C61,"")</f>
      </c>
      <c r="O61" s="9">
        <f>IF(AND($F61=150, $G61=1, $E61="[n]"), $C61,"")</f>
      </c>
      <c r="P61" s="3">
        <f>IF(AND($F61=0, $G61=1), $C61,"")</f>
      </c>
      <c r="Q61" s="3">
        <f>IF(AND($F61=50, $G61=1), $C61,"")</f>
      </c>
      <c r="R61" s="3">
        <f>IF(AND($F61=100, $G61=1), $C61,"")</f>
      </c>
      <c r="S61" s="9">
        <f>IF(AND($F61=150, $G61=1), $C61,"")</f>
      </c>
      <c r="T61" s="3">
        <f>IF(AND(H61&lt;(H$101+2*H$102), H61&gt;(H$101-2*H$102)), H61, "")</f>
      </c>
      <c r="U61" s="3">
        <f>IF(AND(I61&lt;(I$101+2*I$102), I61&gt;(I$101-2*I$102)), I61, "")</f>
      </c>
      <c r="V61" s="3">
        <f>IF(AND(J61&lt;(J$101+2*J$102), J61&gt;(J$101-2*J$102)), J61, "")</f>
      </c>
      <c r="W61" s="3">
        <f>IF(AND(K61&lt;(K$101+2*K$102), K61&gt;(K$101-2*K$102)), K61, "")</f>
      </c>
      <c r="X61" s="3">
        <f>IF(AND(L61&lt;(L$101+2*L$102), L61&gt;(L$101-2*L$102)), L61, "")</f>
      </c>
      <c r="Y61" s="3">
        <f>IF(AND(M61&lt;(M$101+2*M$102), M61&gt;(M$101-2*M$102)), M61, "")</f>
      </c>
      <c r="Z61" s="3">
        <f>IF(AND(N61&lt;(N$101+2*N$102), N61&gt;(N$101-2*N$102)), N61, "")</f>
      </c>
      <c r="AA61" s="9">
        <f>IF(AND(O61&lt;(O$101+2*O$102), O61&gt;(O$101-2*O$102)), O61, "")</f>
      </c>
      <c r="AB61" s="3">
        <f>IF(AND(P61&lt;(P$101+2*P$102), P61&gt;(P$101-2*P$102)), P61, "")</f>
      </c>
      <c r="AC61" s="3">
        <f>IF(AND(Q61&lt;(Q$101+2*Q$102), Q61&gt;(Q$101-2*Q$102)), Q61, "")</f>
      </c>
      <c r="AD61" s="3">
        <f>IF(AND(R61&lt;(R$101+2*R$102), R61&gt;(R$101-2*R$102)), R61, "")</f>
      </c>
      <c r="AE61" s="9">
        <f>IF(AND(S61&lt;(S$101+2*S$102), S61&gt;(S$101-2*S$102)), S61, "")</f>
      </c>
    </row>
    <row x14ac:dyDescent="0.25" r="62" customHeight="1" ht="18.75">
      <c r="A62" s="9">
        <v>58</v>
      </c>
      <c r="B62" s="2" t="s">
        <v>75</v>
      </c>
      <c r="C62" s="9">
        <v>5355</v>
      </c>
      <c r="D62" s="2" t="s">
        <v>18</v>
      </c>
      <c r="E62" s="2" t="s">
        <v>15</v>
      </c>
      <c r="F62" s="9">
        <v>100</v>
      </c>
      <c r="G62" s="9">
        <f>IF($E62=$D62, 1, 0)</f>
      </c>
      <c r="H62" s="3">
        <f>IF(AND($F62=0, $G62=1, $E62="[b]"), $C62,"")</f>
      </c>
      <c r="I62" s="3">
        <f>IF(AND($F62=50, $G62=1, $E62="[b]"), $C62,"")</f>
      </c>
      <c r="J62" s="3">
        <f>IF(AND($F62=100, $G62=1, $E62="[b]"), $C62,"")</f>
      </c>
      <c r="K62" s="3">
        <f>IF(AND($F62=150, $G62=1, $E62="[b]"), $C62,"")</f>
      </c>
      <c r="L62" s="3">
        <f>IF(AND($F62=0, $G62=1, $E62="[n]"), $C62,"")</f>
      </c>
      <c r="M62" s="3">
        <f>IF(AND($F62=50, $G62=1, $E62="[n]"), $C62,"")</f>
      </c>
      <c r="N62" s="3">
        <f>IF(AND($F62=100, $G62=1, $E62="[n]"), $C62,"")</f>
      </c>
      <c r="O62" s="3">
        <f>IF(AND($F62=150, $G62=1, $E62="[n]"), $C62,"")</f>
      </c>
      <c r="P62" s="3">
        <f>IF(AND($F62=0, $G62=1), $C62,"")</f>
      </c>
      <c r="Q62" s="3">
        <f>IF(AND($F62=50, $G62=1), $C62,"")</f>
      </c>
      <c r="R62" s="3">
        <f>IF(AND($F62=100, $G62=1), $C62,"")</f>
      </c>
      <c r="S62" s="3">
        <f>IF(AND($F62=150, $G62=1), $C62,"")</f>
      </c>
      <c r="T62" s="3">
        <f>IF(AND(H62&lt;(H$101+2*H$102), H62&gt;(H$101-2*H$102)), H62, "")</f>
      </c>
      <c r="U62" s="3">
        <f>IF(AND(I62&lt;(I$101+2*I$102), I62&gt;(I$101-2*I$102)), I62, "")</f>
      </c>
      <c r="V62" s="3">
        <f>IF(AND(J62&lt;(J$101+2*J$102), J62&gt;(J$101-2*J$102)), J62, "")</f>
      </c>
      <c r="W62" s="3">
        <f>IF(AND(K62&lt;(K$101+2*K$102), K62&gt;(K$101-2*K$102)), K62, "")</f>
      </c>
      <c r="X62" s="3">
        <f>IF(AND(L62&lt;(L$101+2*L$102), L62&gt;(L$101-2*L$102)), L62, "")</f>
      </c>
      <c r="Y62" s="3">
        <f>IF(AND(M62&lt;(M$101+2*M$102), M62&gt;(M$101-2*M$102)), M62, "")</f>
      </c>
      <c r="Z62" s="3">
        <f>IF(AND(N62&lt;(N$101+2*N$102), N62&gt;(N$101-2*N$102)), N62, "")</f>
      </c>
      <c r="AA62" s="3">
        <f>IF(AND(O62&lt;(O$101+2*O$102), O62&gt;(O$101-2*O$102)), O62, "")</f>
      </c>
      <c r="AB62" s="3">
        <f>IF(AND(P62&lt;(P$101+2*P$102), P62&gt;(P$101-2*P$102)), P62, "")</f>
      </c>
      <c r="AC62" s="3">
        <f>IF(AND(Q62&lt;(Q$101+2*Q$102), Q62&gt;(Q$101-2*Q$102)), Q62, "")</f>
      </c>
      <c r="AD62" s="3">
        <f>IF(AND(R62&lt;(R$101+2*R$102), R62&gt;(R$101-2*R$102)), R62, "")</f>
      </c>
      <c r="AE62" s="3">
        <f>IF(AND(S62&lt;(S$101+2*S$102), S62&gt;(S$101-2*S$102)), S62, "")</f>
      </c>
    </row>
    <row x14ac:dyDescent="0.25" r="63" customHeight="1" ht="18.75">
      <c r="A63" s="9">
        <v>59</v>
      </c>
      <c r="B63" s="2" t="s">
        <v>76</v>
      </c>
      <c r="C63" s="9">
        <v>2344</v>
      </c>
      <c r="D63" s="2" t="s">
        <v>18</v>
      </c>
      <c r="E63" s="2" t="s">
        <v>18</v>
      </c>
      <c r="F63" s="9">
        <v>150</v>
      </c>
      <c r="G63" s="9">
        <f>IF($E63=$D63, 1, 0)</f>
      </c>
      <c r="H63" s="3">
        <f>IF(AND($F63=0, $G63=1, $E63="[b]"), $C63,"")</f>
      </c>
      <c r="I63" s="3">
        <f>IF(AND($F63=50, $G63=1, $E63="[b]"), $C63,"")</f>
      </c>
      <c r="J63" s="3">
        <f>IF(AND($F63=100, $G63=1, $E63="[b]"), $C63,"")</f>
      </c>
      <c r="K63" s="9">
        <f>IF(AND($F63=150, $G63=1, $E63="[b]"), $C63,"")</f>
      </c>
      <c r="L63" s="3">
        <f>IF(AND($F63=0, $G63=1, $E63="[n]"), $C63,"")</f>
      </c>
      <c r="M63" s="3">
        <f>IF(AND($F63=50, $G63=1, $E63="[n]"), $C63,"")</f>
      </c>
      <c r="N63" s="3">
        <f>IF(AND($F63=100, $G63=1, $E63="[n]"), $C63,"")</f>
      </c>
      <c r="O63" s="3">
        <f>IF(AND($F63=150, $G63=1, $E63="[n]"), $C63,"")</f>
      </c>
      <c r="P63" s="3">
        <f>IF(AND($F63=0, $G63=1), $C63,"")</f>
      </c>
      <c r="Q63" s="3">
        <f>IF(AND($F63=50, $G63=1), $C63,"")</f>
      </c>
      <c r="R63" s="3">
        <f>IF(AND($F63=100, $G63=1), $C63,"")</f>
      </c>
      <c r="S63" s="9">
        <f>IF(AND($F63=150, $G63=1), $C63,"")</f>
      </c>
      <c r="T63" s="3">
        <f>IF(AND(H63&lt;(H$101+2*H$102), H63&gt;(H$101-2*H$102)), H63, "")</f>
      </c>
      <c r="U63" s="3">
        <f>IF(AND(I63&lt;(I$101+2*I$102), I63&gt;(I$101-2*I$102)), I63, "")</f>
      </c>
      <c r="V63" s="3">
        <f>IF(AND(J63&lt;(J$101+2*J$102), J63&gt;(J$101-2*J$102)), J63, "")</f>
      </c>
      <c r="W63" s="9">
        <f>IF(AND(K63&lt;(K$101+2*K$102), K63&gt;(K$101-2*K$102)), K63, "")</f>
      </c>
      <c r="X63" s="3">
        <f>IF(AND(L63&lt;(L$101+2*L$102), L63&gt;(L$101-2*L$102)), L63, "")</f>
      </c>
      <c r="Y63" s="3">
        <f>IF(AND(M63&lt;(M$101+2*M$102), M63&gt;(M$101-2*M$102)), M63, "")</f>
      </c>
      <c r="Z63" s="3">
        <f>IF(AND(N63&lt;(N$101+2*N$102), N63&gt;(N$101-2*N$102)), N63, "")</f>
      </c>
      <c r="AA63" s="3">
        <f>IF(AND(O63&lt;(O$101+2*O$102), O63&gt;(O$101-2*O$102)), O63, "")</f>
      </c>
      <c r="AB63" s="3">
        <f>IF(AND(P63&lt;(P$101+2*P$102), P63&gt;(P$101-2*P$102)), P63, "")</f>
      </c>
      <c r="AC63" s="3">
        <f>IF(AND(Q63&lt;(Q$101+2*Q$102), Q63&gt;(Q$101-2*Q$102)), Q63, "")</f>
      </c>
      <c r="AD63" s="3">
        <f>IF(AND(R63&lt;(R$101+2*R$102), R63&gt;(R$101-2*R$102)), R63, "")</f>
      </c>
      <c r="AE63" s="9">
        <f>IF(AND(S63&lt;(S$101+2*S$102), S63&gt;(S$101-2*S$102)), S63, "")</f>
      </c>
    </row>
    <row x14ac:dyDescent="0.25" r="64" customHeight="1" ht="18.75">
      <c r="A64" s="9">
        <v>60</v>
      </c>
      <c r="B64" s="2" t="s">
        <v>77</v>
      </c>
      <c r="C64" s="9">
        <v>2255</v>
      </c>
      <c r="D64" s="2" t="s">
        <v>18</v>
      </c>
      <c r="E64" s="2" t="s">
        <v>18</v>
      </c>
      <c r="F64" s="9">
        <v>100</v>
      </c>
      <c r="G64" s="9">
        <f>IF($E64=$D64, 1, 0)</f>
      </c>
      <c r="H64" s="3">
        <f>IF(AND($F64=0, $G64=1, $E64="[b]"), $C64,"")</f>
      </c>
      <c r="I64" s="3">
        <f>IF(AND($F64=50, $G64=1, $E64="[b]"), $C64,"")</f>
      </c>
      <c r="J64" s="9">
        <f>IF(AND($F64=100, $G64=1, $E64="[b]"), $C64,"")</f>
      </c>
      <c r="K64" s="3">
        <f>IF(AND($F64=150, $G64=1, $E64="[b]"), $C64,"")</f>
      </c>
      <c r="L64" s="3">
        <f>IF(AND($F64=0, $G64=1, $E64="[n]"), $C64,"")</f>
      </c>
      <c r="M64" s="3">
        <f>IF(AND($F64=50, $G64=1, $E64="[n]"), $C64,"")</f>
      </c>
      <c r="N64" s="3">
        <f>IF(AND($F64=100, $G64=1, $E64="[n]"), $C64,"")</f>
      </c>
      <c r="O64" s="3">
        <f>IF(AND($F64=150, $G64=1, $E64="[n]"), $C64,"")</f>
      </c>
      <c r="P64" s="3">
        <f>IF(AND($F64=0, $G64=1), $C64,"")</f>
      </c>
      <c r="Q64" s="3">
        <f>IF(AND($F64=50, $G64=1), $C64,"")</f>
      </c>
      <c r="R64" s="9">
        <f>IF(AND($F64=100, $G64=1), $C64,"")</f>
      </c>
      <c r="S64" s="3">
        <f>IF(AND($F64=150, $G64=1), $C64,"")</f>
      </c>
      <c r="T64" s="3">
        <f>IF(AND(H64&lt;(H$101+2*H$102), H64&gt;(H$101-2*H$102)), H64, "")</f>
      </c>
      <c r="U64" s="3">
        <f>IF(AND(I64&lt;(I$101+2*I$102), I64&gt;(I$101-2*I$102)), I64, "")</f>
      </c>
      <c r="V64" s="9">
        <f>IF(AND(J64&lt;(J$101+2*J$102), J64&gt;(J$101-2*J$102)), J64, "")</f>
      </c>
      <c r="W64" s="3">
        <f>IF(AND(K64&lt;(K$101+2*K$102), K64&gt;(K$101-2*K$102)), K64, "")</f>
      </c>
      <c r="X64" s="3">
        <f>IF(AND(L64&lt;(L$101+2*L$102), L64&gt;(L$101-2*L$102)), L64, "")</f>
      </c>
      <c r="Y64" s="3">
        <f>IF(AND(M64&lt;(M$101+2*M$102), M64&gt;(M$101-2*M$102)), M64, "")</f>
      </c>
      <c r="Z64" s="3">
        <f>IF(AND(N64&lt;(N$101+2*N$102), N64&gt;(N$101-2*N$102)), N64, "")</f>
      </c>
      <c r="AA64" s="3">
        <f>IF(AND(O64&lt;(O$101+2*O$102), O64&gt;(O$101-2*O$102)), O64, "")</f>
      </c>
      <c r="AB64" s="3">
        <f>IF(AND(P64&lt;(P$101+2*P$102), P64&gt;(P$101-2*P$102)), P64, "")</f>
      </c>
      <c r="AC64" s="3">
        <f>IF(AND(Q64&lt;(Q$101+2*Q$102), Q64&gt;(Q$101-2*Q$102)), Q64, "")</f>
      </c>
      <c r="AD64" s="9">
        <f>IF(AND(R64&lt;(R$101+2*R$102), R64&gt;(R$101-2*R$102)), R64, "")</f>
      </c>
      <c r="AE64" s="3">
        <f>IF(AND(S64&lt;(S$101+2*S$102), S64&gt;(S$101-2*S$102)), S64, "")</f>
      </c>
    </row>
    <row x14ac:dyDescent="0.25" r="65" customHeight="1" ht="18.75">
      <c r="A65" s="9">
        <v>61</v>
      </c>
      <c r="B65" s="2" t="s">
        <v>78</v>
      </c>
      <c r="C65" s="9">
        <v>2398</v>
      </c>
      <c r="D65" s="2" t="s">
        <v>18</v>
      </c>
      <c r="E65" s="2" t="s">
        <v>18</v>
      </c>
      <c r="F65" s="9">
        <v>0</v>
      </c>
      <c r="G65" s="9">
        <f>IF($E65=$D65, 1, 0)</f>
      </c>
      <c r="H65" s="9">
        <f>IF(AND($F65=0, $G65=1, $E65="[b]"), $C65,"")</f>
      </c>
      <c r="I65" s="3">
        <f>IF(AND($F65=50, $G65=1, $E65="[b]"), $C65,"")</f>
      </c>
      <c r="J65" s="3">
        <f>IF(AND($F65=100, $G65=1, $E65="[b]"), $C65,"")</f>
      </c>
      <c r="K65" s="3">
        <f>IF(AND($F65=150, $G65=1, $E65="[b]"), $C65,"")</f>
      </c>
      <c r="L65" s="3">
        <f>IF(AND($F65=0, $G65=1, $E65="[n]"), $C65,"")</f>
      </c>
      <c r="M65" s="3">
        <f>IF(AND($F65=50, $G65=1, $E65="[n]"), $C65,"")</f>
      </c>
      <c r="N65" s="3">
        <f>IF(AND($F65=100, $G65=1, $E65="[n]"), $C65,"")</f>
      </c>
      <c r="O65" s="3">
        <f>IF(AND($F65=150, $G65=1, $E65="[n]"), $C65,"")</f>
      </c>
      <c r="P65" s="9">
        <f>IF(AND($F65=0, $G65=1), $C65,"")</f>
      </c>
      <c r="Q65" s="3">
        <f>IF(AND($F65=50, $G65=1), $C65,"")</f>
      </c>
      <c r="R65" s="3">
        <f>IF(AND($F65=100, $G65=1), $C65,"")</f>
      </c>
      <c r="S65" s="3">
        <f>IF(AND($F65=150, $G65=1), $C65,"")</f>
      </c>
      <c r="T65" s="3">
        <f>IF(AND(H65&lt;(H$101+2*H$102), H65&gt;(H$101-2*H$102)), H65, "")</f>
      </c>
      <c r="U65" s="3">
        <f>IF(AND(I65&lt;(I$101+2*I$102), I65&gt;(I$101-2*I$102)), I65, "")</f>
      </c>
      <c r="V65" s="3">
        <f>IF(AND(J65&lt;(J$101+2*J$102), J65&gt;(J$101-2*J$102)), J65, "")</f>
      </c>
      <c r="W65" s="3">
        <f>IF(AND(K65&lt;(K$101+2*K$102), K65&gt;(K$101-2*K$102)), K65, "")</f>
      </c>
      <c r="X65" s="3">
        <f>IF(AND(L65&lt;(L$101+2*L$102), L65&gt;(L$101-2*L$102)), L65, "")</f>
      </c>
      <c r="Y65" s="3">
        <f>IF(AND(M65&lt;(M$101+2*M$102), M65&gt;(M$101-2*M$102)), M65, "")</f>
      </c>
      <c r="Z65" s="3">
        <f>IF(AND(N65&lt;(N$101+2*N$102), N65&gt;(N$101-2*N$102)), N65, "")</f>
      </c>
      <c r="AA65" s="3">
        <f>IF(AND(O65&lt;(O$101+2*O$102), O65&gt;(O$101-2*O$102)), O65, "")</f>
      </c>
      <c r="AB65" s="9">
        <f>IF(AND(P65&lt;(P$101+2*P$102), P65&gt;(P$101-2*P$102)), P65, "")</f>
      </c>
      <c r="AC65" s="3">
        <f>IF(AND(Q65&lt;(Q$101+2*Q$102), Q65&gt;(Q$101-2*Q$102)), Q65, "")</f>
      </c>
      <c r="AD65" s="3">
        <f>IF(AND(R65&lt;(R$101+2*R$102), R65&gt;(R$101-2*R$102)), R65, "")</f>
      </c>
      <c r="AE65" s="3">
        <f>IF(AND(S65&lt;(S$101+2*S$102), S65&gt;(S$101-2*S$102)), S65, "")</f>
      </c>
    </row>
    <row x14ac:dyDescent="0.25" r="66" customHeight="1" ht="18.75">
      <c r="A66" s="9">
        <v>62</v>
      </c>
      <c r="B66" s="2" t="s">
        <v>79</v>
      </c>
      <c r="C66" s="9">
        <v>1877</v>
      </c>
      <c r="D66" s="2" t="s">
        <v>18</v>
      </c>
      <c r="E66" s="2" t="s">
        <v>15</v>
      </c>
      <c r="F66" s="9">
        <v>0</v>
      </c>
      <c r="G66" s="9">
        <f>IF($E66=$D66, 1, 0)</f>
      </c>
      <c r="H66" s="3">
        <f>IF(AND($F66=0, $G66=1, $E66="[b]"), $C66,"")</f>
      </c>
      <c r="I66" s="3">
        <f>IF(AND($F66=50, $G66=1, $E66="[b]"), $C66,"")</f>
      </c>
      <c r="J66" s="3">
        <f>IF(AND($F66=100, $G66=1, $E66="[b]"), $C66,"")</f>
      </c>
      <c r="K66" s="3">
        <f>IF(AND($F66=150, $G66=1, $E66="[b]"), $C66,"")</f>
      </c>
      <c r="L66" s="3">
        <f>IF(AND($F66=0, $G66=1, $E66="[n]"), $C66,"")</f>
      </c>
      <c r="M66" s="3">
        <f>IF(AND($F66=50, $G66=1, $E66="[n]"), $C66,"")</f>
      </c>
      <c r="N66" s="3">
        <f>IF(AND($F66=100, $G66=1, $E66="[n]"), $C66,"")</f>
      </c>
      <c r="O66" s="3">
        <f>IF(AND($F66=150, $G66=1, $E66="[n]"), $C66,"")</f>
      </c>
      <c r="P66" s="3">
        <f>IF(AND($F66=0, $G66=1), $C66,"")</f>
      </c>
      <c r="Q66" s="3">
        <f>IF(AND($F66=50, $G66=1), $C66,"")</f>
      </c>
      <c r="R66" s="3">
        <f>IF(AND($F66=100, $G66=1), $C66,"")</f>
      </c>
      <c r="S66" s="3">
        <f>IF(AND($F66=150, $G66=1), $C66,"")</f>
      </c>
      <c r="T66" s="3">
        <f>IF(AND(H66&lt;(H$101+2*H$102), H66&gt;(H$101-2*H$102)), H66, "")</f>
      </c>
      <c r="U66" s="3">
        <f>IF(AND(I66&lt;(I$101+2*I$102), I66&gt;(I$101-2*I$102)), I66, "")</f>
      </c>
      <c r="V66" s="3">
        <f>IF(AND(J66&lt;(J$101+2*J$102), J66&gt;(J$101-2*J$102)), J66, "")</f>
      </c>
      <c r="W66" s="3">
        <f>IF(AND(K66&lt;(K$101+2*K$102), K66&gt;(K$101-2*K$102)), K66, "")</f>
      </c>
      <c r="X66" s="3">
        <f>IF(AND(L66&lt;(L$101+2*L$102), L66&gt;(L$101-2*L$102)), L66, "")</f>
      </c>
      <c r="Y66" s="3">
        <f>IF(AND(M66&lt;(M$101+2*M$102), M66&gt;(M$101-2*M$102)), M66, "")</f>
      </c>
      <c r="Z66" s="3">
        <f>IF(AND(N66&lt;(N$101+2*N$102), N66&gt;(N$101-2*N$102)), N66, "")</f>
      </c>
      <c r="AA66" s="3">
        <f>IF(AND(O66&lt;(O$101+2*O$102), O66&gt;(O$101-2*O$102)), O66, "")</f>
      </c>
      <c r="AB66" s="3">
        <f>IF(AND(P66&lt;(P$101+2*P$102), P66&gt;(P$101-2*P$102)), P66, "")</f>
      </c>
      <c r="AC66" s="3">
        <f>IF(AND(Q66&lt;(Q$101+2*Q$102), Q66&gt;(Q$101-2*Q$102)), Q66, "")</f>
      </c>
      <c r="AD66" s="3">
        <f>IF(AND(R66&lt;(R$101+2*R$102), R66&gt;(R$101-2*R$102)), R66, "")</f>
      </c>
      <c r="AE66" s="3">
        <f>IF(AND(S66&lt;(S$101+2*S$102), S66&gt;(S$101-2*S$102)), S66, "")</f>
      </c>
    </row>
    <row x14ac:dyDescent="0.25" r="67" customHeight="1" ht="18.75">
      <c r="A67" s="9">
        <v>63</v>
      </c>
      <c r="B67" s="2" t="s">
        <v>80</v>
      </c>
      <c r="C67" s="9">
        <v>3130</v>
      </c>
      <c r="D67" s="2" t="s">
        <v>15</v>
      </c>
      <c r="E67" s="2" t="s">
        <v>15</v>
      </c>
      <c r="F67" s="9">
        <v>50</v>
      </c>
      <c r="G67" s="9">
        <f>IF($E67=$D67, 1, 0)</f>
      </c>
      <c r="H67" s="3">
        <f>IF(AND($F67=0, $G67=1, $E67="[b]"), $C67,"")</f>
      </c>
      <c r="I67" s="3">
        <f>IF(AND($F67=50, $G67=1, $E67="[b]"), $C67,"")</f>
      </c>
      <c r="J67" s="3">
        <f>IF(AND($F67=100, $G67=1, $E67="[b]"), $C67,"")</f>
      </c>
      <c r="K67" s="3">
        <f>IF(AND($F67=150, $G67=1, $E67="[b]"), $C67,"")</f>
      </c>
      <c r="L67" s="3">
        <f>IF(AND($F67=0, $G67=1, $E67="[n]"), $C67,"")</f>
      </c>
      <c r="M67" s="9">
        <f>IF(AND($F67=50, $G67=1, $E67="[n]"), $C67,"")</f>
      </c>
      <c r="N67" s="3">
        <f>IF(AND($F67=100, $G67=1, $E67="[n]"), $C67,"")</f>
      </c>
      <c r="O67" s="3">
        <f>IF(AND($F67=150, $G67=1, $E67="[n]"), $C67,"")</f>
      </c>
      <c r="P67" s="3">
        <f>IF(AND($F67=0, $G67=1), $C67,"")</f>
      </c>
      <c r="Q67" s="9">
        <f>IF(AND($F67=50, $G67=1), $C67,"")</f>
      </c>
      <c r="R67" s="3">
        <f>IF(AND($F67=100, $G67=1), $C67,"")</f>
      </c>
      <c r="S67" s="3">
        <f>IF(AND($F67=150, $G67=1), $C67,"")</f>
      </c>
      <c r="T67" s="3">
        <f>IF(AND(H67&lt;(H$101+2*H$102), H67&gt;(H$101-2*H$102)), H67, "")</f>
      </c>
      <c r="U67" s="3">
        <f>IF(AND(I67&lt;(I$101+2*I$102), I67&gt;(I$101-2*I$102)), I67, "")</f>
      </c>
      <c r="V67" s="3">
        <f>IF(AND(J67&lt;(J$101+2*J$102), J67&gt;(J$101-2*J$102)), J67, "")</f>
      </c>
      <c r="W67" s="3">
        <f>IF(AND(K67&lt;(K$101+2*K$102), K67&gt;(K$101-2*K$102)), K67, "")</f>
      </c>
      <c r="X67" s="3">
        <f>IF(AND(L67&lt;(L$101+2*L$102), L67&gt;(L$101-2*L$102)), L67, "")</f>
      </c>
      <c r="Y67" s="9">
        <f>IF(AND(M67&lt;(M$101+2*M$102), M67&gt;(M$101-2*M$102)), M67, "")</f>
      </c>
      <c r="Z67" s="3">
        <f>IF(AND(N67&lt;(N$101+2*N$102), N67&gt;(N$101-2*N$102)), N67, "")</f>
      </c>
      <c r="AA67" s="3">
        <f>IF(AND(O67&lt;(O$101+2*O$102), O67&gt;(O$101-2*O$102)), O67, "")</f>
      </c>
      <c r="AB67" s="3">
        <f>IF(AND(P67&lt;(P$101+2*P$102), P67&gt;(P$101-2*P$102)), P67, "")</f>
      </c>
      <c r="AC67" s="9">
        <f>IF(AND(Q67&lt;(Q$101+2*Q$102), Q67&gt;(Q$101-2*Q$102)), Q67, "")</f>
      </c>
      <c r="AD67" s="3">
        <f>IF(AND(R67&lt;(R$101+2*R$102), R67&gt;(R$101-2*R$102)), R67, "")</f>
      </c>
      <c r="AE67" s="3">
        <f>IF(AND(S67&lt;(S$101+2*S$102), S67&gt;(S$101-2*S$102)), S67, "")</f>
      </c>
    </row>
    <row x14ac:dyDescent="0.25" r="68" customHeight="1" ht="18.75">
      <c r="A68" s="9">
        <v>64</v>
      </c>
      <c r="B68" s="2" t="s">
        <v>81</v>
      </c>
      <c r="C68" s="9">
        <v>2629</v>
      </c>
      <c r="D68" s="2" t="s">
        <v>18</v>
      </c>
      <c r="E68" s="2" t="s">
        <v>18</v>
      </c>
      <c r="F68" s="9">
        <v>50</v>
      </c>
      <c r="G68" s="9">
        <f>IF($E68=$D68, 1, 0)</f>
      </c>
      <c r="H68" s="3">
        <f>IF(AND($F68=0, $G68=1, $E68="[b]"), $C68,"")</f>
      </c>
      <c r="I68" s="9">
        <f>IF(AND($F68=50, $G68=1, $E68="[b]"), $C68,"")</f>
      </c>
      <c r="J68" s="3">
        <f>IF(AND($F68=100, $G68=1, $E68="[b]"), $C68,"")</f>
      </c>
      <c r="K68" s="3">
        <f>IF(AND($F68=150, $G68=1, $E68="[b]"), $C68,"")</f>
      </c>
      <c r="L68" s="3">
        <f>IF(AND($F68=0, $G68=1, $E68="[n]"), $C68,"")</f>
      </c>
      <c r="M68" s="3">
        <f>IF(AND($F68=50, $G68=1, $E68="[n]"), $C68,"")</f>
      </c>
      <c r="N68" s="3">
        <f>IF(AND($F68=100, $G68=1, $E68="[n]"), $C68,"")</f>
      </c>
      <c r="O68" s="3">
        <f>IF(AND($F68=150, $G68=1, $E68="[n]"), $C68,"")</f>
      </c>
      <c r="P68" s="3">
        <f>IF(AND($F68=0, $G68=1), $C68,"")</f>
      </c>
      <c r="Q68" s="9">
        <f>IF(AND($F68=50, $G68=1), $C68,"")</f>
      </c>
      <c r="R68" s="3">
        <f>IF(AND($F68=100, $G68=1), $C68,"")</f>
      </c>
      <c r="S68" s="3">
        <f>IF(AND($F68=150, $G68=1), $C68,"")</f>
      </c>
      <c r="T68" s="3">
        <f>IF(AND(H68&lt;(H$101+2*H$102), H68&gt;(H$101-2*H$102)), H68, "")</f>
      </c>
      <c r="U68" s="9">
        <f>IF(AND(I68&lt;(I$101+2*I$102), I68&gt;(I$101-2*I$102)), I68, "")</f>
      </c>
      <c r="V68" s="3">
        <f>IF(AND(J68&lt;(J$101+2*J$102), J68&gt;(J$101-2*J$102)), J68, "")</f>
      </c>
      <c r="W68" s="3">
        <f>IF(AND(K68&lt;(K$101+2*K$102), K68&gt;(K$101-2*K$102)), K68, "")</f>
      </c>
      <c r="X68" s="3">
        <f>IF(AND(L68&lt;(L$101+2*L$102), L68&gt;(L$101-2*L$102)), L68, "")</f>
      </c>
      <c r="Y68" s="3">
        <f>IF(AND(M68&lt;(M$101+2*M$102), M68&gt;(M$101-2*M$102)), M68, "")</f>
      </c>
      <c r="Z68" s="3">
        <f>IF(AND(N68&lt;(N$101+2*N$102), N68&gt;(N$101-2*N$102)), N68, "")</f>
      </c>
      <c r="AA68" s="3">
        <f>IF(AND(O68&lt;(O$101+2*O$102), O68&gt;(O$101-2*O$102)), O68, "")</f>
      </c>
      <c r="AB68" s="3">
        <f>IF(AND(P68&lt;(P$101+2*P$102), P68&gt;(P$101-2*P$102)), P68, "")</f>
      </c>
      <c r="AC68" s="9">
        <f>IF(AND(Q68&lt;(Q$101+2*Q$102), Q68&gt;(Q$101-2*Q$102)), Q68, "")</f>
      </c>
      <c r="AD68" s="3">
        <f>IF(AND(R68&lt;(R$101+2*R$102), R68&gt;(R$101-2*R$102)), R68, "")</f>
      </c>
      <c r="AE68" s="3">
        <f>IF(AND(S68&lt;(S$101+2*S$102), S68&gt;(S$101-2*S$102)), S68, "")</f>
      </c>
    </row>
    <row x14ac:dyDescent="0.25" r="69" customHeight="1" ht="18.75">
      <c r="A69" s="9">
        <v>65</v>
      </c>
      <c r="B69" s="2" t="s">
        <v>82</v>
      </c>
      <c r="C69" s="9">
        <v>3485</v>
      </c>
      <c r="D69" s="2" t="s">
        <v>15</v>
      </c>
      <c r="E69" s="2" t="s">
        <v>15</v>
      </c>
      <c r="F69" s="9">
        <v>150</v>
      </c>
      <c r="G69" s="9">
        <f>IF($E69=$D69, 1, 0)</f>
      </c>
      <c r="H69" s="3">
        <f>IF(AND($F69=0, $G69=1, $E69="[b]"), $C69,"")</f>
      </c>
      <c r="I69" s="3">
        <f>IF(AND($F69=50, $G69=1, $E69="[b]"), $C69,"")</f>
      </c>
      <c r="J69" s="3">
        <f>IF(AND($F69=100, $G69=1, $E69="[b]"), $C69,"")</f>
      </c>
      <c r="K69" s="3">
        <f>IF(AND($F69=150, $G69=1, $E69="[b]"), $C69,"")</f>
      </c>
      <c r="L69" s="3">
        <f>IF(AND($F69=0, $G69=1, $E69="[n]"), $C69,"")</f>
      </c>
      <c r="M69" s="3">
        <f>IF(AND($F69=50, $G69=1, $E69="[n]"), $C69,"")</f>
      </c>
      <c r="N69" s="3">
        <f>IF(AND($F69=100, $G69=1, $E69="[n]"), $C69,"")</f>
      </c>
      <c r="O69" s="9">
        <f>IF(AND($F69=150, $G69=1, $E69="[n]"), $C69,"")</f>
      </c>
      <c r="P69" s="3">
        <f>IF(AND($F69=0, $G69=1), $C69,"")</f>
      </c>
      <c r="Q69" s="3">
        <f>IF(AND($F69=50, $G69=1), $C69,"")</f>
      </c>
      <c r="R69" s="3">
        <f>IF(AND($F69=100, $G69=1), $C69,"")</f>
      </c>
      <c r="S69" s="9">
        <f>IF(AND($F69=150, $G69=1), $C69,"")</f>
      </c>
      <c r="T69" s="3">
        <f>IF(AND(H69&lt;(H$101+2*H$102), H69&gt;(H$101-2*H$102)), H69, "")</f>
      </c>
      <c r="U69" s="3">
        <f>IF(AND(I69&lt;(I$101+2*I$102), I69&gt;(I$101-2*I$102)), I69, "")</f>
      </c>
      <c r="V69" s="3">
        <f>IF(AND(J69&lt;(J$101+2*J$102), J69&gt;(J$101-2*J$102)), J69, "")</f>
      </c>
      <c r="W69" s="3">
        <f>IF(AND(K69&lt;(K$101+2*K$102), K69&gt;(K$101-2*K$102)), K69, "")</f>
      </c>
      <c r="X69" s="3">
        <f>IF(AND(L69&lt;(L$101+2*L$102), L69&gt;(L$101-2*L$102)), L69, "")</f>
      </c>
      <c r="Y69" s="3">
        <f>IF(AND(M69&lt;(M$101+2*M$102), M69&gt;(M$101-2*M$102)), M69, "")</f>
      </c>
      <c r="Z69" s="3">
        <f>IF(AND(N69&lt;(N$101+2*N$102), N69&gt;(N$101-2*N$102)), N69, "")</f>
      </c>
      <c r="AA69" s="9">
        <f>IF(AND(O69&lt;(O$101+2*O$102), O69&gt;(O$101-2*O$102)), O69, "")</f>
      </c>
      <c r="AB69" s="3">
        <f>IF(AND(P69&lt;(P$101+2*P$102), P69&gt;(P$101-2*P$102)), P69, "")</f>
      </c>
      <c r="AC69" s="3">
        <f>IF(AND(Q69&lt;(Q$101+2*Q$102), Q69&gt;(Q$101-2*Q$102)), Q69, "")</f>
      </c>
      <c r="AD69" s="3">
        <f>IF(AND(R69&lt;(R$101+2*R$102), R69&gt;(R$101-2*R$102)), R69, "")</f>
      </c>
      <c r="AE69" s="9">
        <f>IF(AND(S69&lt;(S$101+2*S$102), S69&gt;(S$101-2*S$102)), S69, "")</f>
      </c>
    </row>
    <row x14ac:dyDescent="0.25" r="70" customHeight="1" ht="18.75">
      <c r="A70" s="9">
        <v>66</v>
      </c>
      <c r="B70" s="2" t="s">
        <v>83</v>
      </c>
      <c r="C70" s="9">
        <v>1607</v>
      </c>
      <c r="D70" s="2" t="s">
        <v>18</v>
      </c>
      <c r="E70" s="2" t="s">
        <v>18</v>
      </c>
      <c r="F70" s="9">
        <v>0</v>
      </c>
      <c r="G70" s="9">
        <f>IF($E70=$D70, 1, 0)</f>
      </c>
      <c r="H70" s="9">
        <f>IF(AND($F70=0, $G70=1, $E70="[b]"), $C70,"")</f>
      </c>
      <c r="I70" s="3">
        <f>IF(AND($F70=50, $G70=1, $E70="[b]"), $C70,"")</f>
      </c>
      <c r="J70" s="3">
        <f>IF(AND($F70=100, $G70=1, $E70="[b]"), $C70,"")</f>
      </c>
      <c r="K70" s="3">
        <f>IF(AND($F70=150, $G70=1, $E70="[b]"), $C70,"")</f>
      </c>
      <c r="L70" s="3">
        <f>IF(AND($F70=0, $G70=1, $E70="[n]"), $C70,"")</f>
      </c>
      <c r="M70" s="3">
        <f>IF(AND($F70=50, $G70=1, $E70="[n]"), $C70,"")</f>
      </c>
      <c r="N70" s="3">
        <f>IF(AND($F70=100, $G70=1, $E70="[n]"), $C70,"")</f>
      </c>
      <c r="O70" s="3">
        <f>IF(AND($F70=150, $G70=1, $E70="[n]"), $C70,"")</f>
      </c>
      <c r="P70" s="9">
        <f>IF(AND($F70=0, $G70=1), $C70,"")</f>
      </c>
      <c r="Q70" s="3">
        <f>IF(AND($F70=50, $G70=1), $C70,"")</f>
      </c>
      <c r="R70" s="3">
        <f>IF(AND($F70=100, $G70=1), $C70,"")</f>
      </c>
      <c r="S70" s="3">
        <f>IF(AND($F70=150, $G70=1), $C70,"")</f>
      </c>
      <c r="T70" s="9">
        <f>IF(AND(H70&lt;(H$101+2*H$102), H70&gt;(H$101-2*H$102)), H70, "")</f>
      </c>
      <c r="U70" s="3">
        <f>IF(AND(I70&lt;(I$101+2*I$102), I70&gt;(I$101-2*I$102)), I70, "")</f>
      </c>
      <c r="V70" s="3">
        <f>IF(AND(J70&lt;(J$101+2*J$102), J70&gt;(J$101-2*J$102)), J70, "")</f>
      </c>
      <c r="W70" s="3">
        <f>IF(AND(K70&lt;(K$101+2*K$102), K70&gt;(K$101-2*K$102)), K70, "")</f>
      </c>
      <c r="X70" s="3">
        <f>IF(AND(L70&lt;(L$101+2*L$102), L70&gt;(L$101-2*L$102)), L70, "")</f>
      </c>
      <c r="Y70" s="3">
        <f>IF(AND(M70&lt;(M$101+2*M$102), M70&gt;(M$101-2*M$102)), M70, "")</f>
      </c>
      <c r="Z70" s="3">
        <f>IF(AND(N70&lt;(N$101+2*N$102), N70&gt;(N$101-2*N$102)), N70, "")</f>
      </c>
      <c r="AA70" s="3">
        <f>IF(AND(O70&lt;(O$101+2*O$102), O70&gt;(O$101-2*O$102)), O70, "")</f>
      </c>
      <c r="AB70" s="9">
        <f>IF(AND(P70&lt;(P$101+2*P$102), P70&gt;(P$101-2*P$102)), P70, "")</f>
      </c>
      <c r="AC70" s="3">
        <f>IF(AND(Q70&lt;(Q$101+2*Q$102), Q70&gt;(Q$101-2*Q$102)), Q70, "")</f>
      </c>
      <c r="AD70" s="3">
        <f>IF(AND(R70&lt;(R$101+2*R$102), R70&gt;(R$101-2*R$102)), R70, "")</f>
      </c>
      <c r="AE70" s="3">
        <f>IF(AND(S70&lt;(S$101+2*S$102), S70&gt;(S$101-2*S$102)), S70, "")</f>
      </c>
    </row>
    <row x14ac:dyDescent="0.25" r="71" customHeight="1" ht="18.75">
      <c r="A71" s="9">
        <v>67</v>
      </c>
      <c r="B71" s="2" t="s">
        <v>84</v>
      </c>
      <c r="C71" s="9">
        <v>3959</v>
      </c>
      <c r="D71" s="2" t="s">
        <v>18</v>
      </c>
      <c r="E71" s="2" t="s">
        <v>18</v>
      </c>
      <c r="F71" s="9">
        <v>150</v>
      </c>
      <c r="G71" s="9">
        <f>IF($E71=$D71, 1, 0)</f>
      </c>
      <c r="H71" s="3">
        <f>IF(AND($F71=0, $G71=1, $E71="[b]"), $C71,"")</f>
      </c>
      <c r="I71" s="3">
        <f>IF(AND($F71=50, $G71=1, $E71="[b]"), $C71,"")</f>
      </c>
      <c r="J71" s="3">
        <f>IF(AND($F71=100, $G71=1, $E71="[b]"), $C71,"")</f>
      </c>
      <c r="K71" s="9">
        <f>IF(AND($F71=150, $G71=1, $E71="[b]"), $C71,"")</f>
      </c>
      <c r="L71" s="3">
        <f>IF(AND($F71=0, $G71=1, $E71="[n]"), $C71,"")</f>
      </c>
      <c r="M71" s="3">
        <f>IF(AND($F71=50, $G71=1, $E71="[n]"), $C71,"")</f>
      </c>
      <c r="N71" s="3">
        <f>IF(AND($F71=100, $G71=1, $E71="[n]"), $C71,"")</f>
      </c>
      <c r="O71" s="3">
        <f>IF(AND($F71=150, $G71=1, $E71="[n]"), $C71,"")</f>
      </c>
      <c r="P71" s="3">
        <f>IF(AND($F71=0, $G71=1), $C71,"")</f>
      </c>
      <c r="Q71" s="3">
        <f>IF(AND($F71=50, $G71=1), $C71,"")</f>
      </c>
      <c r="R71" s="3">
        <f>IF(AND($F71=100, $G71=1), $C71,"")</f>
      </c>
      <c r="S71" s="9">
        <f>IF(AND($F71=150, $G71=1), $C71,"")</f>
      </c>
      <c r="T71" s="3">
        <f>IF(AND(H71&lt;(H$101+2*H$102), H71&gt;(H$101-2*H$102)), H71, "")</f>
      </c>
      <c r="U71" s="3">
        <f>IF(AND(I71&lt;(I$101+2*I$102), I71&gt;(I$101-2*I$102)), I71, "")</f>
      </c>
      <c r="V71" s="3">
        <f>IF(AND(J71&lt;(J$101+2*J$102), J71&gt;(J$101-2*J$102)), J71, "")</f>
      </c>
      <c r="W71" s="9">
        <f>IF(AND(K71&lt;(K$101+2*K$102), K71&gt;(K$101-2*K$102)), K71, "")</f>
      </c>
      <c r="X71" s="3">
        <f>IF(AND(L71&lt;(L$101+2*L$102), L71&gt;(L$101-2*L$102)), L71, "")</f>
      </c>
      <c r="Y71" s="3">
        <f>IF(AND(M71&lt;(M$101+2*M$102), M71&gt;(M$101-2*M$102)), M71, "")</f>
      </c>
      <c r="Z71" s="3">
        <f>IF(AND(N71&lt;(N$101+2*N$102), N71&gt;(N$101-2*N$102)), N71, "")</f>
      </c>
      <c r="AA71" s="3">
        <f>IF(AND(O71&lt;(O$101+2*O$102), O71&gt;(O$101-2*O$102)), O71, "")</f>
      </c>
      <c r="AB71" s="3">
        <f>IF(AND(P71&lt;(P$101+2*P$102), P71&gt;(P$101-2*P$102)), P71, "")</f>
      </c>
      <c r="AC71" s="3">
        <f>IF(AND(Q71&lt;(Q$101+2*Q$102), Q71&gt;(Q$101-2*Q$102)), Q71, "")</f>
      </c>
      <c r="AD71" s="3">
        <f>IF(AND(R71&lt;(R$101+2*R$102), R71&gt;(R$101-2*R$102)), R71, "")</f>
      </c>
      <c r="AE71" s="9">
        <f>IF(AND(S71&lt;(S$101+2*S$102), S71&gt;(S$101-2*S$102)), S71, "")</f>
      </c>
    </row>
    <row x14ac:dyDescent="0.25" r="72" customHeight="1" ht="18.75">
      <c r="A72" s="9">
        <v>68</v>
      </c>
      <c r="B72" s="2" t="s">
        <v>85</v>
      </c>
      <c r="C72" s="9">
        <v>4823</v>
      </c>
      <c r="D72" s="2" t="s">
        <v>18</v>
      </c>
      <c r="E72" s="2" t="s">
        <v>15</v>
      </c>
      <c r="F72" s="9">
        <v>0</v>
      </c>
      <c r="G72" s="9">
        <f>IF($E72=$D72, 1, 0)</f>
      </c>
      <c r="H72" s="3">
        <f>IF(AND($F72=0, $G72=1, $E72="[b]"), $C72,"")</f>
      </c>
      <c r="I72" s="3">
        <f>IF(AND($F72=50, $G72=1, $E72="[b]"), $C72,"")</f>
      </c>
      <c r="J72" s="3">
        <f>IF(AND($F72=100, $G72=1, $E72="[b]"), $C72,"")</f>
      </c>
      <c r="K72" s="3">
        <f>IF(AND($F72=150, $G72=1, $E72="[b]"), $C72,"")</f>
      </c>
      <c r="L72" s="3">
        <f>IF(AND($F72=0, $G72=1, $E72="[n]"), $C72,"")</f>
      </c>
      <c r="M72" s="3">
        <f>IF(AND($F72=50, $G72=1, $E72="[n]"), $C72,"")</f>
      </c>
      <c r="N72" s="3">
        <f>IF(AND($F72=100, $G72=1, $E72="[n]"), $C72,"")</f>
      </c>
      <c r="O72" s="3">
        <f>IF(AND($F72=150, $G72=1, $E72="[n]"), $C72,"")</f>
      </c>
      <c r="P72" s="3">
        <f>IF(AND($F72=0, $G72=1), $C72,"")</f>
      </c>
      <c r="Q72" s="3">
        <f>IF(AND($F72=50, $G72=1), $C72,"")</f>
      </c>
      <c r="R72" s="3">
        <f>IF(AND($F72=100, $G72=1), $C72,"")</f>
      </c>
      <c r="S72" s="3">
        <f>IF(AND($F72=150, $G72=1), $C72,"")</f>
      </c>
      <c r="T72" s="3">
        <f>IF(AND(H72&lt;(H$101+2*H$102), H72&gt;(H$101-2*H$102)), H72, "")</f>
      </c>
      <c r="U72" s="3">
        <f>IF(AND(I72&lt;(I$101+2*I$102), I72&gt;(I$101-2*I$102)), I72, "")</f>
      </c>
      <c r="V72" s="3">
        <f>IF(AND(J72&lt;(J$101+2*J$102), J72&gt;(J$101-2*J$102)), J72, "")</f>
      </c>
      <c r="W72" s="3">
        <f>IF(AND(K72&lt;(K$101+2*K$102), K72&gt;(K$101-2*K$102)), K72, "")</f>
      </c>
      <c r="X72" s="3">
        <f>IF(AND(L72&lt;(L$101+2*L$102), L72&gt;(L$101-2*L$102)), L72, "")</f>
      </c>
      <c r="Y72" s="3">
        <f>IF(AND(M72&lt;(M$101+2*M$102), M72&gt;(M$101-2*M$102)), M72, "")</f>
      </c>
      <c r="Z72" s="3">
        <f>IF(AND(N72&lt;(N$101+2*N$102), N72&gt;(N$101-2*N$102)), N72, "")</f>
      </c>
      <c r="AA72" s="3">
        <f>IF(AND(O72&lt;(O$101+2*O$102), O72&gt;(O$101-2*O$102)), O72, "")</f>
      </c>
      <c r="AB72" s="3">
        <f>IF(AND(P72&lt;(P$101+2*P$102), P72&gt;(P$101-2*P$102)), P72, "")</f>
      </c>
      <c r="AC72" s="3">
        <f>IF(AND(Q72&lt;(Q$101+2*Q$102), Q72&gt;(Q$101-2*Q$102)), Q72, "")</f>
      </c>
      <c r="AD72" s="3">
        <f>IF(AND(R72&lt;(R$101+2*R$102), R72&gt;(R$101-2*R$102)), R72, "")</f>
      </c>
      <c r="AE72" s="3">
        <f>IF(AND(S72&lt;(S$101+2*S$102), S72&gt;(S$101-2*S$102)), S72, "")</f>
      </c>
    </row>
    <row x14ac:dyDescent="0.25" r="73" customHeight="1" ht="18.75">
      <c r="A73" s="9">
        <v>69</v>
      </c>
      <c r="B73" s="2" t="s">
        <v>86</v>
      </c>
      <c r="C73" s="9">
        <v>2711</v>
      </c>
      <c r="D73" s="2" t="s">
        <v>15</v>
      </c>
      <c r="E73" s="2" t="s">
        <v>15</v>
      </c>
      <c r="F73" s="9">
        <v>50</v>
      </c>
      <c r="G73" s="9">
        <f>IF($E73=$D73, 1, 0)</f>
      </c>
      <c r="H73" s="3">
        <f>IF(AND($F73=0, $G73=1, $E73="[b]"), $C73,"")</f>
      </c>
      <c r="I73" s="3">
        <f>IF(AND($F73=50, $G73=1, $E73="[b]"), $C73,"")</f>
      </c>
      <c r="J73" s="3">
        <f>IF(AND($F73=100, $G73=1, $E73="[b]"), $C73,"")</f>
      </c>
      <c r="K73" s="3">
        <f>IF(AND($F73=150, $G73=1, $E73="[b]"), $C73,"")</f>
      </c>
      <c r="L73" s="3">
        <f>IF(AND($F73=0, $G73=1, $E73="[n]"), $C73,"")</f>
      </c>
      <c r="M73" s="9">
        <f>IF(AND($F73=50, $G73=1, $E73="[n]"), $C73,"")</f>
      </c>
      <c r="N73" s="3">
        <f>IF(AND($F73=100, $G73=1, $E73="[n]"), $C73,"")</f>
      </c>
      <c r="O73" s="3">
        <f>IF(AND($F73=150, $G73=1, $E73="[n]"), $C73,"")</f>
      </c>
      <c r="P73" s="3">
        <f>IF(AND($F73=0, $G73=1), $C73,"")</f>
      </c>
      <c r="Q73" s="9">
        <f>IF(AND($F73=50, $G73=1), $C73,"")</f>
      </c>
      <c r="R73" s="3">
        <f>IF(AND($F73=100, $G73=1), $C73,"")</f>
      </c>
      <c r="S73" s="3">
        <f>IF(AND($F73=150, $G73=1), $C73,"")</f>
      </c>
      <c r="T73" s="3">
        <f>IF(AND(H73&lt;(H$101+2*H$102), H73&gt;(H$101-2*H$102)), H73, "")</f>
      </c>
      <c r="U73" s="3">
        <f>IF(AND(I73&lt;(I$101+2*I$102), I73&gt;(I$101-2*I$102)), I73, "")</f>
      </c>
      <c r="V73" s="3">
        <f>IF(AND(J73&lt;(J$101+2*J$102), J73&gt;(J$101-2*J$102)), J73, "")</f>
      </c>
      <c r="W73" s="3">
        <f>IF(AND(K73&lt;(K$101+2*K$102), K73&gt;(K$101-2*K$102)), K73, "")</f>
      </c>
      <c r="X73" s="3">
        <f>IF(AND(L73&lt;(L$101+2*L$102), L73&gt;(L$101-2*L$102)), L73, "")</f>
      </c>
      <c r="Y73" s="9">
        <f>IF(AND(M73&lt;(M$101+2*M$102), M73&gt;(M$101-2*M$102)), M73, "")</f>
      </c>
      <c r="Z73" s="3">
        <f>IF(AND(N73&lt;(N$101+2*N$102), N73&gt;(N$101-2*N$102)), N73, "")</f>
      </c>
      <c r="AA73" s="3">
        <f>IF(AND(O73&lt;(O$101+2*O$102), O73&gt;(O$101-2*O$102)), O73, "")</f>
      </c>
      <c r="AB73" s="3">
        <f>IF(AND(P73&lt;(P$101+2*P$102), P73&gt;(P$101-2*P$102)), P73, "")</f>
      </c>
      <c r="AC73" s="9">
        <f>IF(AND(Q73&lt;(Q$101+2*Q$102), Q73&gt;(Q$101-2*Q$102)), Q73, "")</f>
      </c>
      <c r="AD73" s="3">
        <f>IF(AND(R73&lt;(R$101+2*R$102), R73&gt;(R$101-2*R$102)), R73, "")</f>
      </c>
      <c r="AE73" s="3">
        <f>IF(AND(S73&lt;(S$101+2*S$102), S73&gt;(S$101-2*S$102)), S73, "")</f>
      </c>
    </row>
    <row x14ac:dyDescent="0.25" r="74" customHeight="1" ht="18.75">
      <c r="A74" s="9">
        <v>70</v>
      </c>
      <c r="B74" s="2" t="s">
        <v>87</v>
      </c>
      <c r="C74" s="9">
        <v>1639</v>
      </c>
      <c r="D74" s="2" t="s">
        <v>18</v>
      </c>
      <c r="E74" s="2" t="s">
        <v>18</v>
      </c>
      <c r="F74" s="9">
        <v>50</v>
      </c>
      <c r="G74" s="9">
        <f>IF($E74=$D74, 1, 0)</f>
      </c>
      <c r="H74" s="3">
        <f>IF(AND($F74=0, $G74=1, $E74="[b]"), $C74,"")</f>
      </c>
      <c r="I74" s="9">
        <f>IF(AND($F74=50, $G74=1, $E74="[b]"), $C74,"")</f>
      </c>
      <c r="J74" s="3">
        <f>IF(AND($F74=100, $G74=1, $E74="[b]"), $C74,"")</f>
      </c>
      <c r="K74" s="3">
        <f>IF(AND($F74=150, $G74=1, $E74="[b]"), $C74,"")</f>
      </c>
      <c r="L74" s="3">
        <f>IF(AND($F74=0, $G74=1, $E74="[n]"), $C74,"")</f>
      </c>
      <c r="M74" s="3">
        <f>IF(AND($F74=50, $G74=1, $E74="[n]"), $C74,"")</f>
      </c>
      <c r="N74" s="3">
        <f>IF(AND($F74=100, $G74=1, $E74="[n]"), $C74,"")</f>
      </c>
      <c r="O74" s="3">
        <f>IF(AND($F74=150, $G74=1, $E74="[n]"), $C74,"")</f>
      </c>
      <c r="P74" s="3">
        <f>IF(AND($F74=0, $G74=1), $C74,"")</f>
      </c>
      <c r="Q74" s="9">
        <f>IF(AND($F74=50, $G74=1), $C74,"")</f>
      </c>
      <c r="R74" s="3">
        <f>IF(AND($F74=100, $G74=1), $C74,"")</f>
      </c>
      <c r="S74" s="3">
        <f>IF(AND($F74=150, $G74=1), $C74,"")</f>
      </c>
      <c r="T74" s="3">
        <f>IF(AND(H74&lt;(H$101+2*H$102), H74&gt;(H$101-2*H$102)), H74, "")</f>
      </c>
      <c r="U74" s="9">
        <f>IF(AND(I74&lt;(I$101+2*I$102), I74&gt;(I$101-2*I$102)), I74, "")</f>
      </c>
      <c r="V74" s="3">
        <f>IF(AND(J74&lt;(J$101+2*J$102), J74&gt;(J$101-2*J$102)), J74, "")</f>
      </c>
      <c r="W74" s="3">
        <f>IF(AND(K74&lt;(K$101+2*K$102), K74&gt;(K$101-2*K$102)), K74, "")</f>
      </c>
      <c r="X74" s="3">
        <f>IF(AND(L74&lt;(L$101+2*L$102), L74&gt;(L$101-2*L$102)), L74, "")</f>
      </c>
      <c r="Y74" s="3">
        <f>IF(AND(M74&lt;(M$101+2*M$102), M74&gt;(M$101-2*M$102)), M74, "")</f>
      </c>
      <c r="Z74" s="3">
        <f>IF(AND(N74&lt;(N$101+2*N$102), N74&gt;(N$101-2*N$102)), N74, "")</f>
      </c>
      <c r="AA74" s="3">
        <f>IF(AND(O74&lt;(O$101+2*O$102), O74&gt;(O$101-2*O$102)), O74, "")</f>
      </c>
      <c r="AB74" s="3">
        <f>IF(AND(P74&lt;(P$101+2*P$102), P74&gt;(P$101-2*P$102)), P74, "")</f>
      </c>
      <c r="AC74" s="9">
        <f>IF(AND(Q74&lt;(Q$101+2*Q$102), Q74&gt;(Q$101-2*Q$102)), Q74, "")</f>
      </c>
      <c r="AD74" s="3">
        <f>IF(AND(R74&lt;(R$101+2*R$102), R74&gt;(R$101-2*R$102)), R74, "")</f>
      </c>
      <c r="AE74" s="3">
        <f>IF(AND(S74&lt;(S$101+2*S$102), S74&gt;(S$101-2*S$102)), S74, "")</f>
      </c>
    </row>
    <row x14ac:dyDescent="0.25" r="75" customHeight="1" ht="18.75">
      <c r="A75" s="9">
        <v>71</v>
      </c>
      <c r="B75" s="2" t="s">
        <v>88</v>
      </c>
      <c r="C75" s="9">
        <v>1935</v>
      </c>
      <c r="D75" s="2" t="s">
        <v>18</v>
      </c>
      <c r="E75" s="2" t="s">
        <v>18</v>
      </c>
      <c r="F75" s="9">
        <v>100</v>
      </c>
      <c r="G75" s="9">
        <f>IF($E75=$D75, 1, 0)</f>
      </c>
      <c r="H75" s="3">
        <f>IF(AND($F75=0, $G75=1, $E75="[b]"), $C75,"")</f>
      </c>
      <c r="I75" s="3">
        <f>IF(AND($F75=50, $G75=1, $E75="[b]"), $C75,"")</f>
      </c>
      <c r="J75" s="9">
        <f>IF(AND($F75=100, $G75=1, $E75="[b]"), $C75,"")</f>
      </c>
      <c r="K75" s="3">
        <f>IF(AND($F75=150, $G75=1, $E75="[b]"), $C75,"")</f>
      </c>
      <c r="L75" s="3">
        <f>IF(AND($F75=0, $G75=1, $E75="[n]"), $C75,"")</f>
      </c>
      <c r="M75" s="3">
        <f>IF(AND($F75=50, $G75=1, $E75="[n]"), $C75,"")</f>
      </c>
      <c r="N75" s="3">
        <f>IF(AND($F75=100, $G75=1, $E75="[n]"), $C75,"")</f>
      </c>
      <c r="O75" s="3">
        <f>IF(AND($F75=150, $G75=1, $E75="[n]"), $C75,"")</f>
      </c>
      <c r="P75" s="3">
        <f>IF(AND($F75=0, $G75=1), $C75,"")</f>
      </c>
      <c r="Q75" s="3">
        <f>IF(AND($F75=50, $G75=1), $C75,"")</f>
      </c>
      <c r="R75" s="9">
        <f>IF(AND($F75=100, $G75=1), $C75,"")</f>
      </c>
      <c r="S75" s="3">
        <f>IF(AND($F75=150, $G75=1), $C75,"")</f>
      </c>
      <c r="T75" s="3">
        <f>IF(AND(H75&lt;(H$101+2*H$102), H75&gt;(H$101-2*H$102)), H75, "")</f>
      </c>
      <c r="U75" s="3">
        <f>IF(AND(I75&lt;(I$101+2*I$102), I75&gt;(I$101-2*I$102)), I75, "")</f>
      </c>
      <c r="V75" s="9">
        <f>IF(AND(J75&lt;(J$101+2*J$102), J75&gt;(J$101-2*J$102)), J75, "")</f>
      </c>
      <c r="W75" s="3">
        <f>IF(AND(K75&lt;(K$101+2*K$102), K75&gt;(K$101-2*K$102)), K75, "")</f>
      </c>
      <c r="X75" s="3">
        <f>IF(AND(L75&lt;(L$101+2*L$102), L75&gt;(L$101-2*L$102)), L75, "")</f>
      </c>
      <c r="Y75" s="3">
        <f>IF(AND(M75&lt;(M$101+2*M$102), M75&gt;(M$101-2*M$102)), M75, "")</f>
      </c>
      <c r="Z75" s="3">
        <f>IF(AND(N75&lt;(N$101+2*N$102), N75&gt;(N$101-2*N$102)), N75, "")</f>
      </c>
      <c r="AA75" s="3">
        <f>IF(AND(O75&lt;(O$101+2*O$102), O75&gt;(O$101-2*O$102)), O75, "")</f>
      </c>
      <c r="AB75" s="3">
        <f>IF(AND(P75&lt;(P$101+2*P$102), P75&gt;(P$101-2*P$102)), P75, "")</f>
      </c>
      <c r="AC75" s="3">
        <f>IF(AND(Q75&lt;(Q$101+2*Q$102), Q75&gt;(Q$101-2*Q$102)), Q75, "")</f>
      </c>
      <c r="AD75" s="9">
        <f>IF(AND(R75&lt;(R$101+2*R$102), R75&gt;(R$101-2*R$102)), R75, "")</f>
      </c>
      <c r="AE75" s="3">
        <f>IF(AND(S75&lt;(S$101+2*S$102), S75&gt;(S$101-2*S$102)), S75, "")</f>
      </c>
    </row>
    <row x14ac:dyDescent="0.25" r="76" customHeight="1" ht="18.75">
      <c r="A76" s="9">
        <v>72</v>
      </c>
      <c r="B76" s="2" t="s">
        <v>89</v>
      </c>
      <c r="C76" s="9">
        <v>3512</v>
      </c>
      <c r="D76" s="2" t="s">
        <v>15</v>
      </c>
      <c r="E76" s="2" t="s">
        <v>15</v>
      </c>
      <c r="F76" s="9">
        <v>100</v>
      </c>
      <c r="G76" s="9">
        <f>IF($E76=$D76, 1, 0)</f>
      </c>
      <c r="H76" s="3">
        <f>IF(AND($F76=0, $G76=1, $E76="[b]"), $C76,"")</f>
      </c>
      <c r="I76" s="3">
        <f>IF(AND($F76=50, $G76=1, $E76="[b]"), $C76,"")</f>
      </c>
      <c r="J76" s="3">
        <f>IF(AND($F76=100, $G76=1, $E76="[b]"), $C76,"")</f>
      </c>
      <c r="K76" s="3">
        <f>IF(AND($F76=150, $G76=1, $E76="[b]"), $C76,"")</f>
      </c>
      <c r="L76" s="3">
        <f>IF(AND($F76=0, $G76=1, $E76="[n]"), $C76,"")</f>
      </c>
      <c r="M76" s="3">
        <f>IF(AND($F76=50, $G76=1, $E76="[n]"), $C76,"")</f>
      </c>
      <c r="N76" s="9">
        <f>IF(AND($F76=100, $G76=1, $E76="[n]"), $C76,"")</f>
      </c>
      <c r="O76" s="3">
        <f>IF(AND($F76=150, $G76=1, $E76="[n]"), $C76,"")</f>
      </c>
      <c r="P76" s="3">
        <f>IF(AND($F76=0, $G76=1), $C76,"")</f>
      </c>
      <c r="Q76" s="3">
        <f>IF(AND($F76=50, $G76=1), $C76,"")</f>
      </c>
      <c r="R76" s="9">
        <f>IF(AND($F76=100, $G76=1), $C76,"")</f>
      </c>
      <c r="S76" s="3">
        <f>IF(AND($F76=150, $G76=1), $C76,"")</f>
      </c>
      <c r="T76" s="3">
        <f>IF(AND(H76&lt;(H$101+2*H$102), H76&gt;(H$101-2*H$102)), H76, "")</f>
      </c>
      <c r="U76" s="3">
        <f>IF(AND(I76&lt;(I$101+2*I$102), I76&gt;(I$101-2*I$102)), I76, "")</f>
      </c>
      <c r="V76" s="3">
        <f>IF(AND(J76&lt;(J$101+2*J$102), J76&gt;(J$101-2*J$102)), J76, "")</f>
      </c>
      <c r="W76" s="3">
        <f>IF(AND(K76&lt;(K$101+2*K$102), K76&gt;(K$101-2*K$102)), K76, "")</f>
      </c>
      <c r="X76" s="3">
        <f>IF(AND(L76&lt;(L$101+2*L$102), L76&gt;(L$101-2*L$102)), L76, "")</f>
      </c>
      <c r="Y76" s="3">
        <f>IF(AND(M76&lt;(M$101+2*M$102), M76&gt;(M$101-2*M$102)), M76, "")</f>
      </c>
      <c r="Z76" s="9">
        <f>IF(AND(N76&lt;(N$101+2*N$102), N76&gt;(N$101-2*N$102)), N76, "")</f>
      </c>
      <c r="AA76" s="3">
        <f>IF(AND(O76&lt;(O$101+2*O$102), O76&gt;(O$101-2*O$102)), O76, "")</f>
      </c>
      <c r="AB76" s="3">
        <f>IF(AND(P76&lt;(P$101+2*P$102), P76&gt;(P$101-2*P$102)), P76, "")</f>
      </c>
      <c r="AC76" s="3">
        <f>IF(AND(Q76&lt;(Q$101+2*Q$102), Q76&gt;(Q$101-2*Q$102)), Q76, "")</f>
      </c>
      <c r="AD76" s="9">
        <f>IF(AND(R76&lt;(R$101+2*R$102), R76&gt;(R$101-2*R$102)), R76, "")</f>
      </c>
      <c r="AE76" s="3">
        <f>IF(AND(S76&lt;(S$101+2*S$102), S76&gt;(S$101-2*S$102)), S76, "")</f>
      </c>
    </row>
    <row x14ac:dyDescent="0.25" r="77" customHeight="1" ht="18.75">
      <c r="A77" s="9">
        <v>73</v>
      </c>
      <c r="B77" s="2" t="s">
        <v>90</v>
      </c>
      <c r="C77" s="9">
        <v>2449</v>
      </c>
      <c r="D77" s="2" t="s">
        <v>18</v>
      </c>
      <c r="E77" s="2" t="s">
        <v>18</v>
      </c>
      <c r="F77" s="9">
        <v>100</v>
      </c>
      <c r="G77" s="9">
        <f>IF($E77=$D77, 1, 0)</f>
      </c>
      <c r="H77" s="3">
        <f>IF(AND($F77=0, $G77=1, $E77="[b]"), $C77,"")</f>
      </c>
      <c r="I77" s="3">
        <f>IF(AND($F77=50, $G77=1, $E77="[b]"), $C77,"")</f>
      </c>
      <c r="J77" s="9">
        <f>IF(AND($F77=100, $G77=1, $E77="[b]"), $C77,"")</f>
      </c>
      <c r="K77" s="3">
        <f>IF(AND($F77=150, $G77=1, $E77="[b]"), $C77,"")</f>
      </c>
      <c r="L77" s="3">
        <f>IF(AND($F77=0, $G77=1, $E77="[n]"), $C77,"")</f>
      </c>
      <c r="M77" s="3">
        <f>IF(AND($F77=50, $G77=1, $E77="[n]"), $C77,"")</f>
      </c>
      <c r="N77" s="3">
        <f>IF(AND($F77=100, $G77=1, $E77="[n]"), $C77,"")</f>
      </c>
      <c r="O77" s="3">
        <f>IF(AND($F77=150, $G77=1, $E77="[n]"), $C77,"")</f>
      </c>
      <c r="P77" s="3">
        <f>IF(AND($F77=0, $G77=1), $C77,"")</f>
      </c>
      <c r="Q77" s="3">
        <f>IF(AND($F77=50, $G77=1), $C77,"")</f>
      </c>
      <c r="R77" s="9">
        <f>IF(AND($F77=100, $G77=1), $C77,"")</f>
      </c>
      <c r="S77" s="3">
        <f>IF(AND($F77=150, $G77=1), $C77,"")</f>
      </c>
      <c r="T77" s="3">
        <f>IF(AND(H77&lt;(H$101+2*H$102), H77&gt;(H$101-2*H$102)), H77, "")</f>
      </c>
      <c r="U77" s="3">
        <f>IF(AND(I77&lt;(I$101+2*I$102), I77&gt;(I$101-2*I$102)), I77, "")</f>
      </c>
      <c r="V77" s="9">
        <f>IF(AND(J77&lt;(J$101+2*J$102), J77&gt;(J$101-2*J$102)), J77, "")</f>
      </c>
      <c r="W77" s="3">
        <f>IF(AND(K77&lt;(K$101+2*K$102), K77&gt;(K$101-2*K$102)), K77, "")</f>
      </c>
      <c r="X77" s="3">
        <f>IF(AND(L77&lt;(L$101+2*L$102), L77&gt;(L$101-2*L$102)), L77, "")</f>
      </c>
      <c r="Y77" s="3">
        <f>IF(AND(M77&lt;(M$101+2*M$102), M77&gt;(M$101-2*M$102)), M77, "")</f>
      </c>
      <c r="Z77" s="3">
        <f>IF(AND(N77&lt;(N$101+2*N$102), N77&gt;(N$101-2*N$102)), N77, "")</f>
      </c>
      <c r="AA77" s="3">
        <f>IF(AND(O77&lt;(O$101+2*O$102), O77&gt;(O$101-2*O$102)), O77, "")</f>
      </c>
      <c r="AB77" s="3">
        <f>IF(AND(P77&lt;(P$101+2*P$102), P77&gt;(P$101-2*P$102)), P77, "")</f>
      </c>
      <c r="AC77" s="3">
        <f>IF(AND(Q77&lt;(Q$101+2*Q$102), Q77&gt;(Q$101-2*Q$102)), Q77, "")</f>
      </c>
      <c r="AD77" s="9">
        <f>IF(AND(R77&lt;(R$101+2*R$102), R77&gt;(R$101-2*R$102)), R77, "")</f>
      </c>
      <c r="AE77" s="3">
        <f>IF(AND(S77&lt;(S$101+2*S$102), S77&gt;(S$101-2*S$102)), S77, "")</f>
      </c>
    </row>
    <row x14ac:dyDescent="0.25" r="78" customHeight="1" ht="18.75">
      <c r="A78" s="9">
        <v>74</v>
      </c>
      <c r="B78" s="2" t="s">
        <v>91</v>
      </c>
      <c r="C78" s="9">
        <v>4927</v>
      </c>
      <c r="D78" s="2" t="s">
        <v>18</v>
      </c>
      <c r="E78" s="2" t="s">
        <v>15</v>
      </c>
      <c r="F78" s="9">
        <v>100</v>
      </c>
      <c r="G78" s="9">
        <f>IF($E78=$D78, 1, 0)</f>
      </c>
      <c r="H78" s="3">
        <f>IF(AND($F78=0, $G78=1, $E78="[b]"), $C78,"")</f>
      </c>
      <c r="I78" s="3">
        <f>IF(AND($F78=50, $G78=1, $E78="[b]"), $C78,"")</f>
      </c>
      <c r="J78" s="3">
        <f>IF(AND($F78=100, $G78=1, $E78="[b]"), $C78,"")</f>
      </c>
      <c r="K78" s="3">
        <f>IF(AND($F78=150, $G78=1, $E78="[b]"), $C78,"")</f>
      </c>
      <c r="L78" s="3">
        <f>IF(AND($F78=0, $G78=1, $E78="[n]"), $C78,"")</f>
      </c>
      <c r="M78" s="3">
        <f>IF(AND($F78=50, $G78=1, $E78="[n]"), $C78,"")</f>
      </c>
      <c r="N78" s="3">
        <f>IF(AND($F78=100, $G78=1, $E78="[n]"), $C78,"")</f>
      </c>
      <c r="O78" s="3">
        <f>IF(AND($F78=150, $G78=1, $E78="[n]"), $C78,"")</f>
      </c>
      <c r="P78" s="3">
        <f>IF(AND($F78=0, $G78=1), $C78,"")</f>
      </c>
      <c r="Q78" s="3">
        <f>IF(AND($F78=50, $G78=1), $C78,"")</f>
      </c>
      <c r="R78" s="3">
        <f>IF(AND($F78=100, $G78=1), $C78,"")</f>
      </c>
      <c r="S78" s="3">
        <f>IF(AND($F78=150, $G78=1), $C78,"")</f>
      </c>
      <c r="T78" s="3">
        <f>IF(AND(H78&lt;(H$101+2*H$102), H78&gt;(H$101-2*H$102)), H78, "")</f>
      </c>
      <c r="U78" s="3">
        <f>IF(AND(I78&lt;(I$101+2*I$102), I78&gt;(I$101-2*I$102)), I78, "")</f>
      </c>
      <c r="V78" s="3">
        <f>IF(AND(J78&lt;(J$101+2*J$102), J78&gt;(J$101-2*J$102)), J78, "")</f>
      </c>
      <c r="W78" s="3">
        <f>IF(AND(K78&lt;(K$101+2*K$102), K78&gt;(K$101-2*K$102)), K78, "")</f>
      </c>
      <c r="X78" s="3">
        <f>IF(AND(L78&lt;(L$101+2*L$102), L78&gt;(L$101-2*L$102)), L78, "")</f>
      </c>
      <c r="Y78" s="3">
        <f>IF(AND(M78&lt;(M$101+2*M$102), M78&gt;(M$101-2*M$102)), M78, "")</f>
      </c>
      <c r="Z78" s="3">
        <f>IF(AND(N78&lt;(N$101+2*N$102), N78&gt;(N$101-2*N$102)), N78, "")</f>
      </c>
      <c r="AA78" s="3">
        <f>IF(AND(O78&lt;(O$101+2*O$102), O78&gt;(O$101-2*O$102)), O78, "")</f>
      </c>
      <c r="AB78" s="3">
        <f>IF(AND(P78&lt;(P$101+2*P$102), P78&gt;(P$101-2*P$102)), P78, "")</f>
      </c>
      <c r="AC78" s="3">
        <f>IF(AND(Q78&lt;(Q$101+2*Q$102), Q78&gt;(Q$101-2*Q$102)), Q78, "")</f>
      </c>
      <c r="AD78" s="3">
        <f>IF(AND(R78&lt;(R$101+2*R$102), R78&gt;(R$101-2*R$102)), R78, "")</f>
      </c>
      <c r="AE78" s="3">
        <f>IF(AND(S78&lt;(S$101+2*S$102), S78&gt;(S$101-2*S$102)), S78, "")</f>
      </c>
    </row>
    <row x14ac:dyDescent="0.25" r="79" customHeight="1" ht="18.75">
      <c r="A79" s="9">
        <v>75</v>
      </c>
      <c r="B79" s="2" t="s">
        <v>92</v>
      </c>
      <c r="C79" s="9">
        <v>3840</v>
      </c>
      <c r="D79" s="2" t="s">
        <v>18</v>
      </c>
      <c r="E79" s="2" t="s">
        <v>18</v>
      </c>
      <c r="F79" s="9">
        <v>150</v>
      </c>
      <c r="G79" s="9">
        <f>IF($E79=$D79, 1, 0)</f>
      </c>
      <c r="H79" s="3">
        <f>IF(AND($F79=0, $G79=1, $E79="[b]"), $C79,"")</f>
      </c>
      <c r="I79" s="3">
        <f>IF(AND($F79=50, $G79=1, $E79="[b]"), $C79,"")</f>
      </c>
      <c r="J79" s="3">
        <f>IF(AND($F79=100, $G79=1, $E79="[b]"), $C79,"")</f>
      </c>
      <c r="K79" s="9">
        <f>IF(AND($F79=150, $G79=1, $E79="[b]"), $C79,"")</f>
      </c>
      <c r="L79" s="3">
        <f>IF(AND($F79=0, $G79=1, $E79="[n]"), $C79,"")</f>
      </c>
      <c r="M79" s="3">
        <f>IF(AND($F79=50, $G79=1, $E79="[n]"), $C79,"")</f>
      </c>
      <c r="N79" s="3">
        <f>IF(AND($F79=100, $G79=1, $E79="[n]"), $C79,"")</f>
      </c>
      <c r="O79" s="3">
        <f>IF(AND($F79=150, $G79=1, $E79="[n]"), $C79,"")</f>
      </c>
      <c r="P79" s="3">
        <f>IF(AND($F79=0, $G79=1), $C79,"")</f>
      </c>
      <c r="Q79" s="3">
        <f>IF(AND($F79=50, $G79=1), $C79,"")</f>
      </c>
      <c r="R79" s="3">
        <f>IF(AND($F79=100, $G79=1), $C79,"")</f>
      </c>
      <c r="S79" s="9">
        <f>IF(AND($F79=150, $G79=1), $C79,"")</f>
      </c>
      <c r="T79" s="3">
        <f>IF(AND(H79&lt;(H$101+2*H$102), H79&gt;(H$101-2*H$102)), H79, "")</f>
      </c>
      <c r="U79" s="3">
        <f>IF(AND(I79&lt;(I$101+2*I$102), I79&gt;(I$101-2*I$102)), I79, "")</f>
      </c>
      <c r="V79" s="3">
        <f>IF(AND(J79&lt;(J$101+2*J$102), J79&gt;(J$101-2*J$102)), J79, "")</f>
      </c>
      <c r="W79" s="9">
        <f>IF(AND(K79&lt;(K$101+2*K$102), K79&gt;(K$101-2*K$102)), K79, "")</f>
      </c>
      <c r="X79" s="3">
        <f>IF(AND(L79&lt;(L$101+2*L$102), L79&gt;(L$101-2*L$102)), L79, "")</f>
      </c>
      <c r="Y79" s="3">
        <f>IF(AND(M79&lt;(M$101+2*M$102), M79&gt;(M$101-2*M$102)), M79, "")</f>
      </c>
      <c r="Z79" s="3">
        <f>IF(AND(N79&lt;(N$101+2*N$102), N79&gt;(N$101-2*N$102)), N79, "")</f>
      </c>
      <c r="AA79" s="3">
        <f>IF(AND(O79&lt;(O$101+2*O$102), O79&gt;(O$101-2*O$102)), O79, "")</f>
      </c>
      <c r="AB79" s="3">
        <f>IF(AND(P79&lt;(P$101+2*P$102), P79&gt;(P$101-2*P$102)), P79, "")</f>
      </c>
      <c r="AC79" s="3">
        <f>IF(AND(Q79&lt;(Q$101+2*Q$102), Q79&gt;(Q$101-2*Q$102)), Q79, "")</f>
      </c>
      <c r="AD79" s="3">
        <f>IF(AND(R79&lt;(R$101+2*R$102), R79&gt;(R$101-2*R$102)), R79, "")</f>
      </c>
      <c r="AE79" s="9">
        <f>IF(AND(S79&lt;(S$101+2*S$102), S79&gt;(S$101-2*S$102)), S79, "")</f>
      </c>
    </row>
    <row x14ac:dyDescent="0.25" r="80" customHeight="1" ht="18.75">
      <c r="A80" s="9">
        <v>76</v>
      </c>
      <c r="B80" s="2" t="s">
        <v>93</v>
      </c>
      <c r="C80" s="9">
        <v>3393</v>
      </c>
      <c r="D80" s="2" t="s">
        <v>15</v>
      </c>
      <c r="E80" s="2" t="s">
        <v>15</v>
      </c>
      <c r="F80" s="9">
        <v>0</v>
      </c>
      <c r="G80" s="9">
        <f>IF($E80=$D80, 1, 0)</f>
      </c>
      <c r="H80" s="3">
        <f>IF(AND($F80=0, $G80=1, $E80="[b]"), $C80,"")</f>
      </c>
      <c r="I80" s="3">
        <f>IF(AND($F80=50, $G80=1, $E80="[b]"), $C80,"")</f>
      </c>
      <c r="J80" s="3">
        <f>IF(AND($F80=100, $G80=1, $E80="[b]"), $C80,"")</f>
      </c>
      <c r="K80" s="3">
        <f>IF(AND($F80=150, $G80=1, $E80="[b]"), $C80,"")</f>
      </c>
      <c r="L80" s="9">
        <f>IF(AND($F80=0, $G80=1, $E80="[n]"), $C80,"")</f>
      </c>
      <c r="M80" s="3">
        <f>IF(AND($F80=50, $G80=1, $E80="[n]"), $C80,"")</f>
      </c>
      <c r="N80" s="3">
        <f>IF(AND($F80=100, $G80=1, $E80="[n]"), $C80,"")</f>
      </c>
      <c r="O80" s="3">
        <f>IF(AND($F80=150, $G80=1, $E80="[n]"), $C80,"")</f>
      </c>
      <c r="P80" s="9">
        <f>IF(AND($F80=0, $G80=1), $C80,"")</f>
      </c>
      <c r="Q80" s="3">
        <f>IF(AND($F80=50, $G80=1), $C80,"")</f>
      </c>
      <c r="R80" s="3">
        <f>IF(AND($F80=100, $G80=1), $C80,"")</f>
      </c>
      <c r="S80" s="3">
        <f>IF(AND($F80=150, $G80=1), $C80,"")</f>
      </c>
      <c r="T80" s="3">
        <f>IF(AND(H80&lt;(H$101+2*H$102), H80&gt;(H$101-2*H$102)), H80, "")</f>
      </c>
      <c r="U80" s="3">
        <f>IF(AND(I80&lt;(I$101+2*I$102), I80&gt;(I$101-2*I$102)), I80, "")</f>
      </c>
      <c r="V80" s="3">
        <f>IF(AND(J80&lt;(J$101+2*J$102), J80&gt;(J$101-2*J$102)), J80, "")</f>
      </c>
      <c r="W80" s="3">
        <f>IF(AND(K80&lt;(K$101+2*K$102), K80&gt;(K$101-2*K$102)), K80, "")</f>
      </c>
      <c r="X80" s="9">
        <f>IF(AND(L80&lt;(L$101+2*L$102), L80&gt;(L$101-2*L$102)), L80, "")</f>
      </c>
      <c r="Y80" s="3">
        <f>IF(AND(M80&lt;(M$101+2*M$102), M80&gt;(M$101-2*M$102)), M80, "")</f>
      </c>
      <c r="Z80" s="3">
        <f>IF(AND(N80&lt;(N$101+2*N$102), N80&gt;(N$101-2*N$102)), N80, "")</f>
      </c>
      <c r="AA80" s="3">
        <f>IF(AND(O80&lt;(O$101+2*O$102), O80&gt;(O$101-2*O$102)), O80, "")</f>
      </c>
      <c r="AB80" s="9">
        <f>IF(AND(P80&lt;(P$101+2*P$102), P80&gt;(P$101-2*P$102)), P80, "")</f>
      </c>
      <c r="AC80" s="3">
        <f>IF(AND(Q80&lt;(Q$101+2*Q$102), Q80&gt;(Q$101-2*Q$102)), Q80, "")</f>
      </c>
      <c r="AD80" s="3">
        <f>IF(AND(R80&lt;(R$101+2*R$102), R80&gt;(R$101-2*R$102)), R80, "")</f>
      </c>
      <c r="AE80" s="3">
        <f>IF(AND(S80&lt;(S$101+2*S$102), S80&gt;(S$101-2*S$102)), S80, "")</f>
      </c>
    </row>
    <row x14ac:dyDescent="0.25" r="81" customHeight="1" ht="18.75">
      <c r="A81" s="9">
        <v>77</v>
      </c>
      <c r="B81" s="2" t="s">
        <v>94</v>
      </c>
      <c r="C81" s="9">
        <v>1336</v>
      </c>
      <c r="D81" s="2" t="s">
        <v>18</v>
      </c>
      <c r="E81" s="2" t="s">
        <v>18</v>
      </c>
      <c r="F81" s="9">
        <v>0</v>
      </c>
      <c r="G81" s="9">
        <f>IF($E81=$D81, 1, 0)</f>
      </c>
      <c r="H81" s="9">
        <f>IF(AND($F81=0, $G81=1, $E81="[b]"), $C81,"")</f>
      </c>
      <c r="I81" s="3">
        <f>IF(AND($F81=50, $G81=1, $E81="[b]"), $C81,"")</f>
      </c>
      <c r="J81" s="3">
        <f>IF(AND($F81=100, $G81=1, $E81="[b]"), $C81,"")</f>
      </c>
      <c r="K81" s="3">
        <f>IF(AND($F81=150, $G81=1, $E81="[b]"), $C81,"")</f>
      </c>
      <c r="L81" s="3">
        <f>IF(AND($F81=0, $G81=1, $E81="[n]"), $C81,"")</f>
      </c>
      <c r="M81" s="3">
        <f>IF(AND($F81=50, $G81=1, $E81="[n]"), $C81,"")</f>
      </c>
      <c r="N81" s="3">
        <f>IF(AND($F81=100, $G81=1, $E81="[n]"), $C81,"")</f>
      </c>
      <c r="O81" s="3">
        <f>IF(AND($F81=150, $G81=1, $E81="[n]"), $C81,"")</f>
      </c>
      <c r="P81" s="9">
        <f>IF(AND($F81=0, $G81=1), $C81,"")</f>
      </c>
      <c r="Q81" s="3">
        <f>IF(AND($F81=50, $G81=1), $C81,"")</f>
      </c>
      <c r="R81" s="3">
        <f>IF(AND($F81=100, $G81=1), $C81,"")</f>
      </c>
      <c r="S81" s="3">
        <f>IF(AND($F81=150, $G81=1), $C81,"")</f>
      </c>
      <c r="T81" s="9">
        <f>IF(AND(H81&lt;(H$101+2*H$102), H81&gt;(H$101-2*H$102)), H81, "")</f>
      </c>
      <c r="U81" s="3">
        <f>IF(AND(I81&lt;(I$101+2*I$102), I81&gt;(I$101-2*I$102)), I81, "")</f>
      </c>
      <c r="V81" s="3">
        <f>IF(AND(J81&lt;(J$101+2*J$102), J81&gt;(J$101-2*J$102)), J81, "")</f>
      </c>
      <c r="W81" s="3">
        <f>IF(AND(K81&lt;(K$101+2*K$102), K81&gt;(K$101-2*K$102)), K81, "")</f>
      </c>
      <c r="X81" s="3">
        <f>IF(AND(L81&lt;(L$101+2*L$102), L81&gt;(L$101-2*L$102)), L81, "")</f>
      </c>
      <c r="Y81" s="3">
        <f>IF(AND(M81&lt;(M$101+2*M$102), M81&gt;(M$101-2*M$102)), M81, "")</f>
      </c>
      <c r="Z81" s="3">
        <f>IF(AND(N81&lt;(N$101+2*N$102), N81&gt;(N$101-2*N$102)), N81, "")</f>
      </c>
      <c r="AA81" s="3">
        <f>IF(AND(O81&lt;(O$101+2*O$102), O81&gt;(O$101-2*O$102)), O81, "")</f>
      </c>
      <c r="AB81" s="9">
        <f>IF(AND(P81&lt;(P$101+2*P$102), P81&gt;(P$101-2*P$102)), P81, "")</f>
      </c>
      <c r="AC81" s="3">
        <f>IF(AND(Q81&lt;(Q$101+2*Q$102), Q81&gt;(Q$101-2*Q$102)), Q81, "")</f>
      </c>
      <c r="AD81" s="3">
        <f>IF(AND(R81&lt;(R$101+2*R$102), R81&gt;(R$101-2*R$102)), R81, "")</f>
      </c>
      <c r="AE81" s="3">
        <f>IF(AND(S81&lt;(S$101+2*S$102), S81&gt;(S$101-2*S$102)), S81, "")</f>
      </c>
    </row>
    <row x14ac:dyDescent="0.25" r="82" customHeight="1" ht="18.75">
      <c r="A82" s="9">
        <v>78</v>
      </c>
      <c r="B82" s="2" t="s">
        <v>95</v>
      </c>
      <c r="C82" s="9">
        <v>2047</v>
      </c>
      <c r="D82" s="2" t="s">
        <v>18</v>
      </c>
      <c r="E82" s="2" t="s">
        <v>18</v>
      </c>
      <c r="F82" s="9">
        <v>50</v>
      </c>
      <c r="G82" s="9">
        <f>IF($E82=$D82, 1, 0)</f>
      </c>
      <c r="H82" s="3">
        <f>IF(AND($F82=0, $G82=1, $E82="[b]"), $C82,"")</f>
      </c>
      <c r="I82" s="9">
        <f>IF(AND($F82=50, $G82=1, $E82="[b]"), $C82,"")</f>
      </c>
      <c r="J82" s="3">
        <f>IF(AND($F82=100, $G82=1, $E82="[b]"), $C82,"")</f>
      </c>
      <c r="K82" s="3">
        <f>IF(AND($F82=150, $G82=1, $E82="[b]"), $C82,"")</f>
      </c>
      <c r="L82" s="3">
        <f>IF(AND($F82=0, $G82=1, $E82="[n]"), $C82,"")</f>
      </c>
      <c r="M82" s="3">
        <f>IF(AND($F82=50, $G82=1, $E82="[n]"), $C82,"")</f>
      </c>
      <c r="N82" s="3">
        <f>IF(AND($F82=100, $G82=1, $E82="[n]"), $C82,"")</f>
      </c>
      <c r="O82" s="3">
        <f>IF(AND($F82=150, $G82=1, $E82="[n]"), $C82,"")</f>
      </c>
      <c r="P82" s="3">
        <f>IF(AND($F82=0, $G82=1), $C82,"")</f>
      </c>
      <c r="Q82" s="9">
        <f>IF(AND($F82=50, $G82=1), $C82,"")</f>
      </c>
      <c r="R82" s="3">
        <f>IF(AND($F82=100, $G82=1), $C82,"")</f>
      </c>
      <c r="S82" s="3">
        <f>IF(AND($F82=150, $G82=1), $C82,"")</f>
      </c>
      <c r="T82" s="3">
        <f>IF(AND(H82&lt;(H$101+2*H$102), H82&gt;(H$101-2*H$102)), H82, "")</f>
      </c>
      <c r="U82" s="9">
        <f>IF(AND(I82&lt;(I$101+2*I$102), I82&gt;(I$101-2*I$102)), I82, "")</f>
      </c>
      <c r="V82" s="3">
        <f>IF(AND(J82&lt;(J$101+2*J$102), J82&gt;(J$101-2*J$102)), J82, "")</f>
      </c>
      <c r="W82" s="3">
        <f>IF(AND(K82&lt;(K$101+2*K$102), K82&gt;(K$101-2*K$102)), K82, "")</f>
      </c>
      <c r="X82" s="3">
        <f>IF(AND(L82&lt;(L$101+2*L$102), L82&gt;(L$101-2*L$102)), L82, "")</f>
      </c>
      <c r="Y82" s="3">
        <f>IF(AND(M82&lt;(M$101+2*M$102), M82&gt;(M$101-2*M$102)), M82, "")</f>
      </c>
      <c r="Z82" s="3">
        <f>IF(AND(N82&lt;(N$101+2*N$102), N82&gt;(N$101-2*N$102)), N82, "")</f>
      </c>
      <c r="AA82" s="3">
        <f>IF(AND(O82&lt;(O$101+2*O$102), O82&gt;(O$101-2*O$102)), O82, "")</f>
      </c>
      <c r="AB82" s="3">
        <f>IF(AND(P82&lt;(P$101+2*P$102), P82&gt;(P$101-2*P$102)), P82, "")</f>
      </c>
      <c r="AC82" s="9">
        <f>IF(AND(Q82&lt;(Q$101+2*Q$102), Q82&gt;(Q$101-2*Q$102)), Q82, "")</f>
      </c>
      <c r="AD82" s="3">
        <f>IF(AND(R82&lt;(R$101+2*R$102), R82&gt;(R$101-2*R$102)), R82, "")</f>
      </c>
      <c r="AE82" s="3">
        <f>IF(AND(S82&lt;(S$101+2*S$102), S82&gt;(S$101-2*S$102)), S82, "")</f>
      </c>
    </row>
    <row x14ac:dyDescent="0.25" r="83" customHeight="1" ht="18.75">
      <c r="A83" s="9">
        <v>79</v>
      </c>
      <c r="B83" s="2" t="s">
        <v>96</v>
      </c>
      <c r="C83" s="9">
        <v>5493</v>
      </c>
      <c r="D83" s="2" t="s">
        <v>18</v>
      </c>
      <c r="E83" s="2" t="s">
        <v>15</v>
      </c>
      <c r="F83" s="9">
        <v>50</v>
      </c>
      <c r="G83" s="9">
        <f>IF($E83=$D83, 1, 0)</f>
      </c>
      <c r="H83" s="3">
        <f>IF(AND($F83=0, $G83=1, $E83="[b]"), $C83,"")</f>
      </c>
      <c r="I83" s="3">
        <f>IF(AND($F83=50, $G83=1, $E83="[b]"), $C83,"")</f>
      </c>
      <c r="J83" s="3">
        <f>IF(AND($F83=100, $G83=1, $E83="[b]"), $C83,"")</f>
      </c>
      <c r="K83" s="3">
        <f>IF(AND($F83=150, $G83=1, $E83="[b]"), $C83,"")</f>
      </c>
      <c r="L83" s="3">
        <f>IF(AND($F83=0, $G83=1, $E83="[n]"), $C83,"")</f>
      </c>
      <c r="M83" s="3">
        <f>IF(AND($F83=50, $G83=1, $E83="[n]"), $C83,"")</f>
      </c>
      <c r="N83" s="3">
        <f>IF(AND($F83=100, $G83=1, $E83="[n]"), $C83,"")</f>
      </c>
      <c r="O83" s="3">
        <f>IF(AND($F83=150, $G83=1, $E83="[n]"), $C83,"")</f>
      </c>
      <c r="P83" s="3">
        <f>IF(AND($F83=0, $G83=1), $C83,"")</f>
      </c>
      <c r="Q83" s="3">
        <f>IF(AND($F83=50, $G83=1), $C83,"")</f>
      </c>
      <c r="R83" s="3">
        <f>IF(AND($F83=100, $G83=1), $C83,"")</f>
      </c>
      <c r="S83" s="3">
        <f>IF(AND($F83=150, $G83=1), $C83,"")</f>
      </c>
      <c r="T83" s="3">
        <f>IF(AND(H83&lt;(H$101+2*H$102), H83&gt;(H$101-2*H$102)), H83, "")</f>
      </c>
      <c r="U83" s="3">
        <f>IF(AND(I83&lt;(I$101+2*I$102), I83&gt;(I$101-2*I$102)), I83, "")</f>
      </c>
      <c r="V83" s="3">
        <f>IF(AND(J83&lt;(J$101+2*J$102), J83&gt;(J$101-2*J$102)), J83, "")</f>
      </c>
      <c r="W83" s="3">
        <f>IF(AND(K83&lt;(K$101+2*K$102), K83&gt;(K$101-2*K$102)), K83, "")</f>
      </c>
      <c r="X83" s="3">
        <f>IF(AND(L83&lt;(L$101+2*L$102), L83&gt;(L$101-2*L$102)), L83, "")</f>
      </c>
      <c r="Y83" s="3">
        <f>IF(AND(M83&lt;(M$101+2*M$102), M83&gt;(M$101-2*M$102)), M83, "")</f>
      </c>
      <c r="Z83" s="3">
        <f>IF(AND(N83&lt;(N$101+2*N$102), N83&gt;(N$101-2*N$102)), N83, "")</f>
      </c>
      <c r="AA83" s="3">
        <f>IF(AND(O83&lt;(O$101+2*O$102), O83&gt;(O$101-2*O$102)), O83, "")</f>
      </c>
      <c r="AB83" s="3">
        <f>IF(AND(P83&lt;(P$101+2*P$102), P83&gt;(P$101-2*P$102)), P83, "")</f>
      </c>
      <c r="AC83" s="3">
        <f>IF(AND(Q83&lt;(Q$101+2*Q$102), Q83&gt;(Q$101-2*Q$102)), Q83, "")</f>
      </c>
      <c r="AD83" s="3">
        <f>IF(AND(R83&lt;(R$101+2*R$102), R83&gt;(R$101-2*R$102)), R83, "")</f>
      </c>
      <c r="AE83" s="3">
        <f>IF(AND(S83&lt;(S$101+2*S$102), S83&gt;(S$101-2*S$102)), S83, "")</f>
      </c>
    </row>
    <row x14ac:dyDescent="0.25" r="84" customHeight="1" ht="18.75">
      <c r="A84" s="9">
        <v>80</v>
      </c>
      <c r="B84" s="2" t="s">
        <v>97</v>
      </c>
      <c r="C84" s="9">
        <v>3287</v>
      </c>
      <c r="D84" s="2" t="s">
        <v>18</v>
      </c>
      <c r="E84" s="2" t="s">
        <v>15</v>
      </c>
      <c r="F84" s="9">
        <v>150</v>
      </c>
      <c r="G84" s="9">
        <f>IF($E84=$D84, 1, 0)</f>
      </c>
      <c r="H84" s="3">
        <f>IF(AND($F84=0, $G84=1, $E84="[b]"), $C84,"")</f>
      </c>
      <c r="I84" s="3">
        <f>IF(AND($F84=50, $G84=1, $E84="[b]"), $C84,"")</f>
      </c>
      <c r="J84" s="3">
        <f>IF(AND($F84=100, $G84=1, $E84="[b]"), $C84,"")</f>
      </c>
      <c r="K84" s="3">
        <f>IF(AND($F84=150, $G84=1, $E84="[b]"), $C84,"")</f>
      </c>
      <c r="L84" s="3">
        <f>IF(AND($F84=0, $G84=1, $E84="[n]"), $C84,"")</f>
      </c>
      <c r="M84" s="3">
        <f>IF(AND($F84=50, $G84=1, $E84="[n]"), $C84,"")</f>
      </c>
      <c r="N84" s="3">
        <f>IF(AND($F84=100, $G84=1, $E84="[n]"), $C84,"")</f>
      </c>
      <c r="O84" s="3">
        <f>IF(AND($F84=150, $G84=1, $E84="[n]"), $C84,"")</f>
      </c>
      <c r="P84" s="3">
        <f>IF(AND($F84=0, $G84=1), $C84,"")</f>
      </c>
      <c r="Q84" s="3">
        <f>IF(AND($F84=50, $G84=1), $C84,"")</f>
      </c>
      <c r="R84" s="3">
        <f>IF(AND($F84=100, $G84=1), $C84,"")</f>
      </c>
      <c r="S84" s="3">
        <f>IF(AND($F84=150, $G84=1), $C84,"")</f>
      </c>
      <c r="T84" s="3">
        <f>IF(AND(H84&lt;(H$101+2*H$102), H84&gt;(H$101-2*H$102)), H84, "")</f>
      </c>
      <c r="U84" s="3">
        <f>IF(AND(I84&lt;(I$101+2*I$102), I84&gt;(I$101-2*I$102)), I84, "")</f>
      </c>
      <c r="V84" s="3">
        <f>IF(AND(J84&lt;(J$101+2*J$102), J84&gt;(J$101-2*J$102)), J84, "")</f>
      </c>
      <c r="W84" s="3">
        <f>IF(AND(K84&lt;(K$101+2*K$102), K84&gt;(K$101-2*K$102)), K84, "")</f>
      </c>
      <c r="X84" s="3">
        <f>IF(AND(L84&lt;(L$101+2*L$102), L84&gt;(L$101-2*L$102)), L84, "")</f>
      </c>
      <c r="Y84" s="3">
        <f>IF(AND(M84&lt;(M$101+2*M$102), M84&gt;(M$101-2*M$102)), M84, "")</f>
      </c>
      <c r="Z84" s="3">
        <f>IF(AND(N84&lt;(N$101+2*N$102), N84&gt;(N$101-2*N$102)), N84, "")</f>
      </c>
      <c r="AA84" s="3">
        <f>IF(AND(O84&lt;(O$101+2*O$102), O84&gt;(O$101-2*O$102)), O84, "")</f>
      </c>
      <c r="AB84" s="3">
        <f>IF(AND(P84&lt;(P$101+2*P$102), P84&gt;(P$101-2*P$102)), P84, "")</f>
      </c>
      <c r="AC84" s="3">
        <f>IF(AND(Q84&lt;(Q$101+2*Q$102), Q84&gt;(Q$101-2*Q$102)), Q84, "")</f>
      </c>
      <c r="AD84" s="3">
        <f>IF(AND(R84&lt;(R$101+2*R$102), R84&gt;(R$101-2*R$102)), R84, "")</f>
      </c>
      <c r="AE84" s="3">
        <f>IF(AND(S84&lt;(S$101+2*S$102), S84&gt;(S$101-2*S$102)), S84, "")</f>
      </c>
    </row>
    <row x14ac:dyDescent="0.25" r="85" customHeight="1" ht="18.75">
      <c r="A85" s="9">
        <v>81</v>
      </c>
      <c r="B85" s="2" t="s">
        <v>98</v>
      </c>
      <c r="C85" s="9">
        <v>4439</v>
      </c>
      <c r="D85" s="2" t="s">
        <v>15</v>
      </c>
      <c r="E85" s="2" t="s">
        <v>15</v>
      </c>
      <c r="F85" s="9">
        <v>50</v>
      </c>
      <c r="G85" s="9">
        <f>IF($E85=$D85, 1, 0)</f>
      </c>
      <c r="H85" s="3">
        <f>IF(AND($F85=0, $G85=1, $E85="[b]"), $C85,"")</f>
      </c>
      <c r="I85" s="3">
        <f>IF(AND($F85=50, $G85=1, $E85="[b]"), $C85,"")</f>
      </c>
      <c r="J85" s="3">
        <f>IF(AND($F85=100, $G85=1, $E85="[b]"), $C85,"")</f>
      </c>
      <c r="K85" s="3">
        <f>IF(AND($F85=150, $G85=1, $E85="[b]"), $C85,"")</f>
      </c>
      <c r="L85" s="3">
        <f>IF(AND($F85=0, $G85=1, $E85="[n]"), $C85,"")</f>
      </c>
      <c r="M85" s="9">
        <f>IF(AND($F85=50, $G85=1, $E85="[n]"), $C85,"")</f>
      </c>
      <c r="N85" s="3">
        <f>IF(AND($F85=100, $G85=1, $E85="[n]"), $C85,"")</f>
      </c>
      <c r="O85" s="3">
        <f>IF(AND($F85=150, $G85=1, $E85="[n]"), $C85,"")</f>
      </c>
      <c r="P85" s="3">
        <f>IF(AND($F85=0, $G85=1), $C85,"")</f>
      </c>
      <c r="Q85" s="9">
        <f>IF(AND($F85=50, $G85=1), $C85,"")</f>
      </c>
      <c r="R85" s="3">
        <f>IF(AND($F85=100, $G85=1), $C85,"")</f>
      </c>
      <c r="S85" s="3">
        <f>IF(AND($F85=150, $G85=1), $C85,"")</f>
      </c>
      <c r="T85" s="3">
        <f>IF(AND(H85&lt;(H$101+2*H$102), H85&gt;(H$101-2*H$102)), H85, "")</f>
      </c>
      <c r="U85" s="3">
        <f>IF(AND(I85&lt;(I$101+2*I$102), I85&gt;(I$101-2*I$102)), I85, "")</f>
      </c>
      <c r="V85" s="3">
        <f>IF(AND(J85&lt;(J$101+2*J$102), J85&gt;(J$101-2*J$102)), J85, "")</f>
      </c>
      <c r="W85" s="3">
        <f>IF(AND(K85&lt;(K$101+2*K$102), K85&gt;(K$101-2*K$102)), K85, "")</f>
      </c>
      <c r="X85" s="3">
        <f>IF(AND(L85&lt;(L$101+2*L$102), L85&gt;(L$101-2*L$102)), L85, "")</f>
      </c>
      <c r="Y85" s="9">
        <f>IF(AND(M85&lt;(M$101+2*M$102), M85&gt;(M$101-2*M$102)), M85, "")</f>
      </c>
      <c r="Z85" s="3">
        <f>IF(AND(N85&lt;(N$101+2*N$102), N85&gt;(N$101-2*N$102)), N85, "")</f>
      </c>
      <c r="AA85" s="3">
        <f>IF(AND(O85&lt;(O$101+2*O$102), O85&gt;(O$101-2*O$102)), O85, "")</f>
      </c>
      <c r="AB85" s="3">
        <f>IF(AND(P85&lt;(P$101+2*P$102), P85&gt;(P$101-2*P$102)), P85, "")</f>
      </c>
      <c r="AC85" s="9">
        <f>IF(AND(Q85&lt;(Q$101+2*Q$102), Q85&gt;(Q$101-2*Q$102)), Q85, "")</f>
      </c>
      <c r="AD85" s="3">
        <f>IF(AND(R85&lt;(R$101+2*R$102), R85&gt;(R$101-2*R$102)), R85, "")</f>
      </c>
      <c r="AE85" s="3">
        <f>IF(AND(S85&lt;(S$101+2*S$102), S85&gt;(S$101-2*S$102)), S85, "")</f>
      </c>
    </row>
    <row x14ac:dyDescent="0.25" r="86" customHeight="1" ht="18.75">
      <c r="A86" s="9">
        <v>82</v>
      </c>
      <c r="B86" s="2" t="s">
        <v>99</v>
      </c>
      <c r="C86" s="9">
        <v>1175</v>
      </c>
      <c r="D86" s="2" t="s">
        <v>18</v>
      </c>
      <c r="E86" s="2" t="s">
        <v>18</v>
      </c>
      <c r="F86" s="9">
        <v>0</v>
      </c>
      <c r="G86" s="9">
        <f>IF($E86=$D86, 1, 0)</f>
      </c>
      <c r="H86" s="9">
        <f>IF(AND($F86=0, $G86=1, $E86="[b]"), $C86,"")</f>
      </c>
      <c r="I86" s="3">
        <f>IF(AND($F86=50, $G86=1, $E86="[b]"), $C86,"")</f>
      </c>
      <c r="J86" s="3">
        <f>IF(AND($F86=100, $G86=1, $E86="[b]"), $C86,"")</f>
      </c>
      <c r="K86" s="3">
        <f>IF(AND($F86=150, $G86=1, $E86="[b]"), $C86,"")</f>
      </c>
      <c r="L86" s="3">
        <f>IF(AND($F86=0, $G86=1, $E86="[n]"), $C86,"")</f>
      </c>
      <c r="M86" s="3">
        <f>IF(AND($F86=50, $G86=1, $E86="[n]"), $C86,"")</f>
      </c>
      <c r="N86" s="3">
        <f>IF(AND($F86=100, $G86=1, $E86="[n]"), $C86,"")</f>
      </c>
      <c r="O86" s="3">
        <f>IF(AND($F86=150, $G86=1, $E86="[n]"), $C86,"")</f>
      </c>
      <c r="P86" s="9">
        <f>IF(AND($F86=0, $G86=1), $C86,"")</f>
      </c>
      <c r="Q86" s="3">
        <f>IF(AND($F86=50, $G86=1), $C86,"")</f>
      </c>
      <c r="R86" s="3">
        <f>IF(AND($F86=100, $G86=1), $C86,"")</f>
      </c>
      <c r="S86" s="3">
        <f>IF(AND($F86=150, $G86=1), $C86,"")</f>
      </c>
      <c r="T86" s="9">
        <f>IF(AND(H86&lt;(H$101+2*H$102), H86&gt;(H$101-2*H$102)), H86, "")</f>
      </c>
      <c r="U86" s="3">
        <f>IF(AND(I86&lt;(I$101+2*I$102), I86&gt;(I$101-2*I$102)), I86, "")</f>
      </c>
      <c r="V86" s="3">
        <f>IF(AND(J86&lt;(J$101+2*J$102), J86&gt;(J$101-2*J$102)), J86, "")</f>
      </c>
      <c r="W86" s="3">
        <f>IF(AND(K86&lt;(K$101+2*K$102), K86&gt;(K$101-2*K$102)), K86, "")</f>
      </c>
      <c r="X86" s="3">
        <f>IF(AND(L86&lt;(L$101+2*L$102), L86&gt;(L$101-2*L$102)), L86, "")</f>
      </c>
      <c r="Y86" s="3">
        <f>IF(AND(M86&lt;(M$101+2*M$102), M86&gt;(M$101-2*M$102)), M86, "")</f>
      </c>
      <c r="Z86" s="3">
        <f>IF(AND(N86&lt;(N$101+2*N$102), N86&gt;(N$101-2*N$102)), N86, "")</f>
      </c>
      <c r="AA86" s="3">
        <f>IF(AND(O86&lt;(O$101+2*O$102), O86&gt;(O$101-2*O$102)), O86, "")</f>
      </c>
      <c r="AB86" s="9">
        <f>IF(AND(P86&lt;(P$101+2*P$102), P86&gt;(P$101-2*P$102)), P86, "")</f>
      </c>
      <c r="AC86" s="3">
        <f>IF(AND(Q86&lt;(Q$101+2*Q$102), Q86&gt;(Q$101-2*Q$102)), Q86, "")</f>
      </c>
      <c r="AD86" s="3">
        <f>IF(AND(R86&lt;(R$101+2*R$102), R86&gt;(R$101-2*R$102)), R86, "")</f>
      </c>
      <c r="AE86" s="3">
        <f>IF(AND(S86&lt;(S$101+2*S$102), S86&gt;(S$101-2*S$102)), S86, "")</f>
      </c>
    </row>
    <row x14ac:dyDescent="0.25" r="87" customHeight="1" ht="18.75">
      <c r="A87" s="9">
        <v>83</v>
      </c>
      <c r="B87" s="2" t="s">
        <v>100</v>
      </c>
      <c r="C87" s="9">
        <v>3049</v>
      </c>
      <c r="D87" s="2" t="s">
        <v>15</v>
      </c>
      <c r="E87" s="2" t="s">
        <v>15</v>
      </c>
      <c r="F87" s="9">
        <v>150</v>
      </c>
      <c r="G87" s="9">
        <f>IF($E87=$D87, 1, 0)</f>
      </c>
      <c r="H87" s="3">
        <f>IF(AND($F87=0, $G87=1, $E87="[b]"), $C87,"")</f>
      </c>
      <c r="I87" s="3">
        <f>IF(AND($F87=50, $G87=1, $E87="[b]"), $C87,"")</f>
      </c>
      <c r="J87" s="3">
        <f>IF(AND($F87=100, $G87=1, $E87="[b]"), $C87,"")</f>
      </c>
      <c r="K87" s="3">
        <f>IF(AND($F87=150, $G87=1, $E87="[b]"), $C87,"")</f>
      </c>
      <c r="L87" s="3">
        <f>IF(AND($F87=0, $G87=1, $E87="[n]"), $C87,"")</f>
      </c>
      <c r="M87" s="3">
        <f>IF(AND($F87=50, $G87=1, $E87="[n]"), $C87,"")</f>
      </c>
      <c r="N87" s="3">
        <f>IF(AND($F87=100, $G87=1, $E87="[n]"), $C87,"")</f>
      </c>
      <c r="O87" s="9">
        <f>IF(AND($F87=150, $G87=1, $E87="[n]"), $C87,"")</f>
      </c>
      <c r="P87" s="3">
        <f>IF(AND($F87=0, $G87=1), $C87,"")</f>
      </c>
      <c r="Q87" s="3">
        <f>IF(AND($F87=50, $G87=1), $C87,"")</f>
      </c>
      <c r="R87" s="3">
        <f>IF(AND($F87=100, $G87=1), $C87,"")</f>
      </c>
      <c r="S87" s="9">
        <f>IF(AND($F87=150, $G87=1), $C87,"")</f>
      </c>
      <c r="T87" s="3">
        <f>IF(AND(H87&lt;(H$101+2*H$102), H87&gt;(H$101-2*H$102)), H87, "")</f>
      </c>
      <c r="U87" s="3">
        <f>IF(AND(I87&lt;(I$101+2*I$102), I87&gt;(I$101-2*I$102)), I87, "")</f>
      </c>
      <c r="V87" s="3">
        <f>IF(AND(J87&lt;(J$101+2*J$102), J87&gt;(J$101-2*J$102)), J87, "")</f>
      </c>
      <c r="W87" s="3">
        <f>IF(AND(K87&lt;(K$101+2*K$102), K87&gt;(K$101-2*K$102)), K87, "")</f>
      </c>
      <c r="X87" s="3">
        <f>IF(AND(L87&lt;(L$101+2*L$102), L87&gt;(L$101-2*L$102)), L87, "")</f>
      </c>
      <c r="Y87" s="3">
        <f>IF(AND(M87&lt;(M$101+2*M$102), M87&gt;(M$101-2*M$102)), M87, "")</f>
      </c>
      <c r="Z87" s="3">
        <f>IF(AND(N87&lt;(N$101+2*N$102), N87&gt;(N$101-2*N$102)), N87, "")</f>
      </c>
      <c r="AA87" s="9">
        <f>IF(AND(O87&lt;(O$101+2*O$102), O87&gt;(O$101-2*O$102)), O87, "")</f>
      </c>
      <c r="AB87" s="3">
        <f>IF(AND(P87&lt;(P$101+2*P$102), P87&gt;(P$101-2*P$102)), P87, "")</f>
      </c>
      <c r="AC87" s="3">
        <f>IF(AND(Q87&lt;(Q$101+2*Q$102), Q87&gt;(Q$101-2*Q$102)), Q87, "")</f>
      </c>
      <c r="AD87" s="3">
        <f>IF(AND(R87&lt;(R$101+2*R$102), R87&gt;(R$101-2*R$102)), R87, "")</f>
      </c>
      <c r="AE87" s="9">
        <f>IF(AND(S87&lt;(S$101+2*S$102), S87&gt;(S$101-2*S$102)), S87, "")</f>
      </c>
    </row>
    <row x14ac:dyDescent="0.25" r="88" customHeight="1" ht="18.75">
      <c r="A88" s="9">
        <v>84</v>
      </c>
      <c r="B88" s="2" t="s">
        <v>101</v>
      </c>
      <c r="C88" s="9">
        <v>2072</v>
      </c>
      <c r="D88" s="2" t="s">
        <v>18</v>
      </c>
      <c r="E88" s="2" t="s">
        <v>18</v>
      </c>
      <c r="F88" s="9">
        <v>50</v>
      </c>
      <c r="G88" s="9">
        <f>IF($E88=$D88, 1, 0)</f>
      </c>
      <c r="H88" s="3">
        <f>IF(AND($F88=0, $G88=1, $E88="[b]"), $C88,"")</f>
      </c>
      <c r="I88" s="9">
        <f>IF(AND($F88=50, $G88=1, $E88="[b]"), $C88,"")</f>
      </c>
      <c r="J88" s="3">
        <f>IF(AND($F88=100, $G88=1, $E88="[b]"), $C88,"")</f>
      </c>
      <c r="K88" s="3">
        <f>IF(AND($F88=150, $G88=1, $E88="[b]"), $C88,"")</f>
      </c>
      <c r="L88" s="3">
        <f>IF(AND($F88=0, $G88=1, $E88="[n]"), $C88,"")</f>
      </c>
      <c r="M88" s="3">
        <f>IF(AND($F88=50, $G88=1, $E88="[n]"), $C88,"")</f>
      </c>
      <c r="N88" s="3">
        <f>IF(AND($F88=100, $G88=1, $E88="[n]"), $C88,"")</f>
      </c>
      <c r="O88" s="3">
        <f>IF(AND($F88=150, $G88=1, $E88="[n]"), $C88,"")</f>
      </c>
      <c r="P88" s="3">
        <f>IF(AND($F88=0, $G88=1), $C88,"")</f>
      </c>
      <c r="Q88" s="9">
        <f>IF(AND($F88=50, $G88=1), $C88,"")</f>
      </c>
      <c r="R88" s="3">
        <f>IF(AND($F88=100, $G88=1), $C88,"")</f>
      </c>
      <c r="S88" s="3">
        <f>IF(AND($F88=150, $G88=1), $C88,"")</f>
      </c>
      <c r="T88" s="3">
        <f>IF(AND(H88&lt;(H$101+2*H$102), H88&gt;(H$101-2*H$102)), H88, "")</f>
      </c>
      <c r="U88" s="9">
        <f>IF(AND(I88&lt;(I$101+2*I$102), I88&gt;(I$101-2*I$102)), I88, "")</f>
      </c>
      <c r="V88" s="3">
        <f>IF(AND(J88&lt;(J$101+2*J$102), J88&gt;(J$101-2*J$102)), J88, "")</f>
      </c>
      <c r="W88" s="3">
        <f>IF(AND(K88&lt;(K$101+2*K$102), K88&gt;(K$101-2*K$102)), K88, "")</f>
      </c>
      <c r="X88" s="3">
        <f>IF(AND(L88&lt;(L$101+2*L$102), L88&gt;(L$101-2*L$102)), L88, "")</f>
      </c>
      <c r="Y88" s="3">
        <f>IF(AND(M88&lt;(M$101+2*M$102), M88&gt;(M$101-2*M$102)), M88, "")</f>
      </c>
      <c r="Z88" s="3">
        <f>IF(AND(N88&lt;(N$101+2*N$102), N88&gt;(N$101-2*N$102)), N88, "")</f>
      </c>
      <c r="AA88" s="3">
        <f>IF(AND(O88&lt;(O$101+2*O$102), O88&gt;(O$101-2*O$102)), O88, "")</f>
      </c>
      <c r="AB88" s="3">
        <f>IF(AND(P88&lt;(P$101+2*P$102), P88&gt;(P$101-2*P$102)), P88, "")</f>
      </c>
      <c r="AC88" s="9">
        <f>IF(AND(Q88&lt;(Q$101+2*Q$102), Q88&gt;(Q$101-2*Q$102)), Q88, "")</f>
      </c>
      <c r="AD88" s="3">
        <f>IF(AND(R88&lt;(R$101+2*R$102), R88&gt;(R$101-2*R$102)), R88, "")</f>
      </c>
      <c r="AE88" s="3">
        <f>IF(AND(S88&lt;(S$101+2*S$102), S88&gt;(S$101-2*S$102)), S88, "")</f>
      </c>
    </row>
    <row x14ac:dyDescent="0.25" r="89" customHeight="1" ht="18.75">
      <c r="A89" s="9">
        <v>85</v>
      </c>
      <c r="B89" s="2" t="s">
        <v>102</v>
      </c>
      <c r="C89" s="9">
        <v>3599</v>
      </c>
      <c r="D89" s="2" t="s">
        <v>18</v>
      </c>
      <c r="E89" s="2" t="s">
        <v>18</v>
      </c>
      <c r="F89" s="9">
        <v>100</v>
      </c>
      <c r="G89" s="9">
        <f>IF($E89=$D89, 1, 0)</f>
      </c>
      <c r="H89" s="3">
        <f>IF(AND($F89=0, $G89=1, $E89="[b]"), $C89,"")</f>
      </c>
      <c r="I89" s="3">
        <f>IF(AND($F89=50, $G89=1, $E89="[b]"), $C89,"")</f>
      </c>
      <c r="J89" s="9">
        <f>IF(AND($F89=100, $G89=1, $E89="[b]"), $C89,"")</f>
      </c>
      <c r="K89" s="3">
        <f>IF(AND($F89=150, $G89=1, $E89="[b]"), $C89,"")</f>
      </c>
      <c r="L89" s="3">
        <f>IF(AND($F89=0, $G89=1, $E89="[n]"), $C89,"")</f>
      </c>
      <c r="M89" s="3">
        <f>IF(AND($F89=50, $G89=1, $E89="[n]"), $C89,"")</f>
      </c>
      <c r="N89" s="3">
        <f>IF(AND($F89=100, $G89=1, $E89="[n]"), $C89,"")</f>
      </c>
      <c r="O89" s="3">
        <f>IF(AND($F89=150, $G89=1, $E89="[n]"), $C89,"")</f>
      </c>
      <c r="P89" s="3">
        <f>IF(AND($F89=0, $G89=1), $C89,"")</f>
      </c>
      <c r="Q89" s="3">
        <f>IF(AND($F89=50, $G89=1), $C89,"")</f>
      </c>
      <c r="R89" s="9">
        <f>IF(AND($F89=100, $G89=1), $C89,"")</f>
      </c>
      <c r="S89" s="3">
        <f>IF(AND($F89=150, $G89=1), $C89,"")</f>
      </c>
      <c r="T89" s="3">
        <f>IF(AND(H89&lt;(H$101+2*H$102), H89&gt;(H$101-2*H$102)), H89, "")</f>
      </c>
      <c r="U89" s="3">
        <f>IF(AND(I89&lt;(I$101+2*I$102), I89&gt;(I$101-2*I$102)), I89, "")</f>
      </c>
      <c r="V89" s="9">
        <f>IF(AND(J89&lt;(J$101+2*J$102), J89&gt;(J$101-2*J$102)), J89, "")</f>
      </c>
      <c r="W89" s="3">
        <f>IF(AND(K89&lt;(K$101+2*K$102), K89&gt;(K$101-2*K$102)), K89, "")</f>
      </c>
      <c r="X89" s="3">
        <f>IF(AND(L89&lt;(L$101+2*L$102), L89&gt;(L$101-2*L$102)), L89, "")</f>
      </c>
      <c r="Y89" s="3">
        <f>IF(AND(M89&lt;(M$101+2*M$102), M89&gt;(M$101-2*M$102)), M89, "")</f>
      </c>
      <c r="Z89" s="3">
        <f>IF(AND(N89&lt;(N$101+2*N$102), N89&gt;(N$101-2*N$102)), N89, "")</f>
      </c>
      <c r="AA89" s="3">
        <f>IF(AND(O89&lt;(O$101+2*O$102), O89&gt;(O$101-2*O$102)), O89, "")</f>
      </c>
      <c r="AB89" s="3">
        <f>IF(AND(P89&lt;(P$101+2*P$102), P89&gt;(P$101-2*P$102)), P89, "")</f>
      </c>
      <c r="AC89" s="3">
        <f>IF(AND(Q89&lt;(Q$101+2*Q$102), Q89&gt;(Q$101-2*Q$102)), Q89, "")</f>
      </c>
      <c r="AD89" s="9">
        <f>IF(AND(R89&lt;(R$101+2*R$102), R89&gt;(R$101-2*R$102)), R89, "")</f>
      </c>
      <c r="AE89" s="3">
        <f>IF(AND(S89&lt;(S$101+2*S$102), S89&gt;(S$101-2*S$102)), S89, "")</f>
      </c>
    </row>
    <row x14ac:dyDescent="0.25" r="90" customHeight="1" ht="18.75">
      <c r="A90" s="9">
        <v>86</v>
      </c>
      <c r="B90" s="2" t="s">
        <v>103</v>
      </c>
      <c r="C90" s="1" t="s">
        <v>20</v>
      </c>
      <c r="D90" s="2" t="s">
        <v>21</v>
      </c>
      <c r="E90" s="2" t="s">
        <v>15</v>
      </c>
      <c r="F90" s="9">
        <v>0</v>
      </c>
      <c r="G90" s="9">
        <f>IF($E90=$D90, 1, 0)</f>
      </c>
      <c r="H90" s="3">
        <f>IF(AND($F90=0, $G90=1, $E90="[b]"), $C90,"")</f>
      </c>
      <c r="I90" s="3">
        <f>IF(AND($F90=50, $G90=1, $E90="[b]"), $C90,"")</f>
      </c>
      <c r="J90" s="3">
        <f>IF(AND($F90=100, $G90=1, $E90="[b]"), $C90,"")</f>
      </c>
      <c r="K90" s="3">
        <f>IF(AND($F90=150, $G90=1, $E90="[b]"), $C90,"")</f>
      </c>
      <c r="L90" s="3">
        <f>IF(AND($F90=0, $G90=1, $E90="[n]"), $C90,"")</f>
      </c>
      <c r="M90" s="3">
        <f>IF(AND($F90=50, $G90=1, $E90="[n]"), $C90,"")</f>
      </c>
      <c r="N90" s="3">
        <f>IF(AND($F90=100, $G90=1, $E90="[n]"), $C90,"")</f>
      </c>
      <c r="O90" s="3">
        <f>IF(AND($F90=150, $G90=1, $E90="[n]"), $C90,"")</f>
      </c>
      <c r="P90" s="3">
        <f>IF(AND($F90=0, $G90=1), $C90,"")</f>
      </c>
      <c r="Q90" s="3">
        <f>IF(AND($F90=50, $G90=1), $C90,"")</f>
      </c>
      <c r="R90" s="3">
        <f>IF(AND($F90=100, $G90=1), $C90,"")</f>
      </c>
      <c r="S90" s="3">
        <f>IF(AND($F90=150, $G90=1), $C90,"")</f>
      </c>
      <c r="T90" s="3">
        <f>IF(AND(H90&lt;(H$101+2*H$102), H90&gt;(H$101-2*H$102)), H90, "")</f>
      </c>
      <c r="U90" s="3">
        <f>IF(AND(I90&lt;(I$101+2*I$102), I90&gt;(I$101-2*I$102)), I90, "")</f>
      </c>
      <c r="V90" s="3">
        <f>IF(AND(J90&lt;(J$101+2*J$102), J90&gt;(J$101-2*J$102)), J90, "")</f>
      </c>
      <c r="W90" s="3">
        <f>IF(AND(K90&lt;(K$101+2*K$102), K90&gt;(K$101-2*K$102)), K90, "")</f>
      </c>
      <c r="X90" s="3">
        <f>IF(AND(L90&lt;(L$101+2*L$102), L90&gt;(L$101-2*L$102)), L90, "")</f>
      </c>
      <c r="Y90" s="3">
        <f>IF(AND(M90&lt;(M$101+2*M$102), M90&gt;(M$101-2*M$102)), M90, "")</f>
      </c>
      <c r="Z90" s="3">
        <f>IF(AND(N90&lt;(N$101+2*N$102), N90&gt;(N$101-2*N$102)), N90, "")</f>
      </c>
      <c r="AA90" s="3">
        <f>IF(AND(O90&lt;(O$101+2*O$102), O90&gt;(O$101-2*O$102)), O90, "")</f>
      </c>
      <c r="AB90" s="3">
        <f>IF(AND(P90&lt;(P$101+2*P$102), P90&gt;(P$101-2*P$102)), P90, "")</f>
      </c>
      <c r="AC90" s="3">
        <f>IF(AND(Q90&lt;(Q$101+2*Q$102), Q90&gt;(Q$101-2*Q$102)), Q90, "")</f>
      </c>
      <c r="AD90" s="3">
        <f>IF(AND(R90&lt;(R$101+2*R$102), R90&gt;(R$101-2*R$102)), R90, "")</f>
      </c>
      <c r="AE90" s="3">
        <f>IF(AND(S90&lt;(S$101+2*S$102), S90&gt;(S$101-2*S$102)), S90, "")</f>
      </c>
    </row>
    <row x14ac:dyDescent="0.25" r="91" customHeight="1" ht="18.75">
      <c r="A91" s="9">
        <v>87</v>
      </c>
      <c r="B91" s="2" t="s">
        <v>104</v>
      </c>
      <c r="C91" s="9">
        <v>3818</v>
      </c>
      <c r="D91" s="2" t="s">
        <v>18</v>
      </c>
      <c r="E91" s="2" t="s">
        <v>18</v>
      </c>
      <c r="F91" s="9">
        <v>150</v>
      </c>
      <c r="G91" s="9">
        <f>IF($E91=$D91, 1, 0)</f>
      </c>
      <c r="H91" s="3">
        <f>IF(AND($F91=0, $G91=1, $E91="[b]"), $C91,"")</f>
      </c>
      <c r="I91" s="3">
        <f>IF(AND($F91=50, $G91=1, $E91="[b]"), $C91,"")</f>
      </c>
      <c r="J91" s="3">
        <f>IF(AND($F91=100, $G91=1, $E91="[b]"), $C91,"")</f>
      </c>
      <c r="K91" s="9">
        <f>IF(AND($F91=150, $G91=1, $E91="[b]"), $C91,"")</f>
      </c>
      <c r="L91" s="3">
        <f>IF(AND($F91=0, $G91=1, $E91="[n]"), $C91,"")</f>
      </c>
      <c r="M91" s="3">
        <f>IF(AND($F91=50, $G91=1, $E91="[n]"), $C91,"")</f>
      </c>
      <c r="N91" s="3">
        <f>IF(AND($F91=100, $G91=1, $E91="[n]"), $C91,"")</f>
      </c>
      <c r="O91" s="3">
        <f>IF(AND($F91=150, $G91=1, $E91="[n]"), $C91,"")</f>
      </c>
      <c r="P91" s="3">
        <f>IF(AND($F91=0, $G91=1), $C91,"")</f>
      </c>
      <c r="Q91" s="3">
        <f>IF(AND($F91=50, $G91=1), $C91,"")</f>
      </c>
      <c r="R91" s="3">
        <f>IF(AND($F91=100, $G91=1), $C91,"")</f>
      </c>
      <c r="S91" s="9">
        <f>IF(AND($F91=150, $G91=1), $C91,"")</f>
      </c>
      <c r="T91" s="3">
        <f>IF(AND(H91&lt;(H$101+2*H$102), H91&gt;(H$101-2*H$102)), H91, "")</f>
      </c>
      <c r="U91" s="3">
        <f>IF(AND(I91&lt;(I$101+2*I$102), I91&gt;(I$101-2*I$102)), I91, "")</f>
      </c>
      <c r="V91" s="3">
        <f>IF(AND(J91&lt;(J$101+2*J$102), J91&gt;(J$101-2*J$102)), J91, "")</f>
      </c>
      <c r="W91" s="9">
        <f>IF(AND(K91&lt;(K$101+2*K$102), K91&gt;(K$101-2*K$102)), K91, "")</f>
      </c>
      <c r="X91" s="3">
        <f>IF(AND(L91&lt;(L$101+2*L$102), L91&gt;(L$101-2*L$102)), L91, "")</f>
      </c>
      <c r="Y91" s="3">
        <f>IF(AND(M91&lt;(M$101+2*M$102), M91&gt;(M$101-2*M$102)), M91, "")</f>
      </c>
      <c r="Z91" s="3">
        <f>IF(AND(N91&lt;(N$101+2*N$102), N91&gt;(N$101-2*N$102)), N91, "")</f>
      </c>
      <c r="AA91" s="3">
        <f>IF(AND(O91&lt;(O$101+2*O$102), O91&gt;(O$101-2*O$102)), O91, "")</f>
      </c>
      <c r="AB91" s="3">
        <f>IF(AND(P91&lt;(P$101+2*P$102), P91&gt;(P$101-2*P$102)), P91, "")</f>
      </c>
      <c r="AC91" s="3">
        <f>IF(AND(Q91&lt;(Q$101+2*Q$102), Q91&gt;(Q$101-2*Q$102)), Q91, "")</f>
      </c>
      <c r="AD91" s="3">
        <f>IF(AND(R91&lt;(R$101+2*R$102), R91&gt;(R$101-2*R$102)), R91, "")</f>
      </c>
      <c r="AE91" s="9">
        <f>IF(AND(S91&lt;(S$101+2*S$102), S91&gt;(S$101-2*S$102)), S91, "")</f>
      </c>
    </row>
    <row x14ac:dyDescent="0.25" r="92" customHeight="1" ht="18.75">
      <c r="A92" s="9">
        <v>88</v>
      </c>
      <c r="B92" s="2" t="s">
        <v>105</v>
      </c>
      <c r="C92" s="9">
        <v>3319</v>
      </c>
      <c r="D92" s="2" t="s">
        <v>15</v>
      </c>
      <c r="E92" s="2" t="s">
        <v>15</v>
      </c>
      <c r="F92" s="9">
        <v>100</v>
      </c>
      <c r="G92" s="9">
        <f>IF($E92=$D92, 1, 0)</f>
      </c>
      <c r="H92" s="3">
        <f>IF(AND($F92=0, $G92=1, $E92="[b]"), $C92,"")</f>
      </c>
      <c r="I92" s="3">
        <f>IF(AND($F92=50, $G92=1, $E92="[b]"), $C92,"")</f>
      </c>
      <c r="J92" s="3">
        <f>IF(AND($F92=100, $G92=1, $E92="[b]"), $C92,"")</f>
      </c>
      <c r="K92" s="3">
        <f>IF(AND($F92=150, $G92=1, $E92="[b]"), $C92,"")</f>
      </c>
      <c r="L92" s="3">
        <f>IF(AND($F92=0, $G92=1, $E92="[n]"), $C92,"")</f>
      </c>
      <c r="M92" s="3">
        <f>IF(AND($F92=50, $G92=1, $E92="[n]"), $C92,"")</f>
      </c>
      <c r="N92" s="9">
        <f>IF(AND($F92=100, $G92=1, $E92="[n]"), $C92,"")</f>
      </c>
      <c r="O92" s="3">
        <f>IF(AND($F92=150, $G92=1, $E92="[n]"), $C92,"")</f>
      </c>
      <c r="P92" s="3">
        <f>IF(AND($F92=0, $G92=1), $C92,"")</f>
      </c>
      <c r="Q92" s="3">
        <f>IF(AND($F92=50, $G92=1), $C92,"")</f>
      </c>
      <c r="R92" s="9">
        <f>IF(AND($F92=100, $G92=1), $C92,"")</f>
      </c>
      <c r="S92" s="3">
        <f>IF(AND($F92=150, $G92=1), $C92,"")</f>
      </c>
      <c r="T92" s="3">
        <f>IF(AND(H92&lt;(H$101+2*H$102), H92&gt;(H$101-2*H$102)), H92, "")</f>
      </c>
      <c r="U92" s="3">
        <f>IF(AND(I92&lt;(I$101+2*I$102), I92&gt;(I$101-2*I$102)), I92, "")</f>
      </c>
      <c r="V92" s="3">
        <f>IF(AND(J92&lt;(J$101+2*J$102), J92&gt;(J$101-2*J$102)), J92, "")</f>
      </c>
      <c r="W92" s="3">
        <f>IF(AND(K92&lt;(K$101+2*K$102), K92&gt;(K$101-2*K$102)), K92, "")</f>
      </c>
      <c r="X92" s="3">
        <f>IF(AND(L92&lt;(L$101+2*L$102), L92&gt;(L$101-2*L$102)), L92, "")</f>
      </c>
      <c r="Y92" s="3">
        <f>IF(AND(M92&lt;(M$101+2*M$102), M92&gt;(M$101-2*M$102)), M92, "")</f>
      </c>
      <c r="Z92" s="9">
        <f>IF(AND(N92&lt;(N$101+2*N$102), N92&gt;(N$101-2*N$102)), N92, "")</f>
      </c>
      <c r="AA92" s="3">
        <f>IF(AND(O92&lt;(O$101+2*O$102), O92&gt;(O$101-2*O$102)), O92, "")</f>
      </c>
      <c r="AB92" s="3">
        <f>IF(AND(P92&lt;(P$101+2*P$102), P92&gt;(P$101-2*P$102)), P92, "")</f>
      </c>
      <c r="AC92" s="3">
        <f>IF(AND(Q92&lt;(Q$101+2*Q$102), Q92&gt;(Q$101-2*Q$102)), Q92, "")</f>
      </c>
      <c r="AD92" s="9">
        <f>IF(AND(R92&lt;(R$101+2*R$102), R92&gt;(R$101-2*R$102)), R92, "")</f>
      </c>
      <c r="AE92" s="3">
        <f>IF(AND(S92&lt;(S$101+2*S$102), S92&gt;(S$101-2*S$102)), S92, "")</f>
      </c>
    </row>
    <row x14ac:dyDescent="0.25" r="93" customHeight="1" ht="18.75">
      <c r="A93" s="9">
        <v>89</v>
      </c>
      <c r="B93" s="2" t="s">
        <v>106</v>
      </c>
      <c r="C93" s="9">
        <v>2222</v>
      </c>
      <c r="D93" s="2" t="s">
        <v>15</v>
      </c>
      <c r="E93" s="2" t="s">
        <v>15</v>
      </c>
      <c r="F93" s="9">
        <v>100</v>
      </c>
      <c r="G93" s="9">
        <f>IF($E93=$D93, 1, 0)</f>
      </c>
      <c r="H93" s="3">
        <f>IF(AND($F93=0, $G93=1, $E93="[b]"), $C93,"")</f>
      </c>
      <c r="I93" s="3">
        <f>IF(AND($F93=50, $G93=1, $E93="[b]"), $C93,"")</f>
      </c>
      <c r="J93" s="3">
        <f>IF(AND($F93=100, $G93=1, $E93="[b]"), $C93,"")</f>
      </c>
      <c r="K93" s="3">
        <f>IF(AND($F93=150, $G93=1, $E93="[b]"), $C93,"")</f>
      </c>
      <c r="L93" s="3">
        <f>IF(AND($F93=0, $G93=1, $E93="[n]"), $C93,"")</f>
      </c>
      <c r="M93" s="3">
        <f>IF(AND($F93=50, $G93=1, $E93="[n]"), $C93,"")</f>
      </c>
      <c r="N93" s="9">
        <f>IF(AND($F93=100, $G93=1, $E93="[n]"), $C93,"")</f>
      </c>
      <c r="O93" s="3">
        <f>IF(AND($F93=150, $G93=1, $E93="[n]"), $C93,"")</f>
      </c>
      <c r="P93" s="3">
        <f>IF(AND($F93=0, $G93=1), $C93,"")</f>
      </c>
      <c r="Q93" s="3">
        <f>IF(AND($F93=50, $G93=1), $C93,"")</f>
      </c>
      <c r="R93" s="9">
        <f>IF(AND($F93=100, $G93=1), $C93,"")</f>
      </c>
      <c r="S93" s="3">
        <f>IF(AND($F93=150, $G93=1), $C93,"")</f>
      </c>
      <c r="T93" s="3">
        <f>IF(AND(H93&lt;(H$101+2*H$102), H93&gt;(H$101-2*H$102)), H93, "")</f>
      </c>
      <c r="U93" s="3">
        <f>IF(AND(I93&lt;(I$101+2*I$102), I93&gt;(I$101-2*I$102)), I93, "")</f>
      </c>
      <c r="V93" s="3">
        <f>IF(AND(J93&lt;(J$101+2*J$102), J93&gt;(J$101-2*J$102)), J93, "")</f>
      </c>
      <c r="W93" s="3">
        <f>IF(AND(K93&lt;(K$101+2*K$102), K93&gt;(K$101-2*K$102)), K93, "")</f>
      </c>
      <c r="X93" s="3">
        <f>IF(AND(L93&lt;(L$101+2*L$102), L93&gt;(L$101-2*L$102)), L93, "")</f>
      </c>
      <c r="Y93" s="3">
        <f>IF(AND(M93&lt;(M$101+2*M$102), M93&gt;(M$101-2*M$102)), M93, "")</f>
      </c>
      <c r="Z93" s="9">
        <f>IF(AND(N93&lt;(N$101+2*N$102), N93&gt;(N$101-2*N$102)), N93, "")</f>
      </c>
      <c r="AA93" s="3">
        <f>IF(AND(O93&lt;(O$101+2*O$102), O93&gt;(O$101-2*O$102)), O93, "")</f>
      </c>
      <c r="AB93" s="3">
        <f>IF(AND(P93&lt;(P$101+2*P$102), P93&gt;(P$101-2*P$102)), P93, "")</f>
      </c>
      <c r="AC93" s="3">
        <f>IF(AND(Q93&lt;(Q$101+2*Q$102), Q93&gt;(Q$101-2*Q$102)), Q93, "")</f>
      </c>
      <c r="AD93" s="9">
        <f>IF(AND(R93&lt;(R$101+2*R$102), R93&gt;(R$101-2*R$102)), R93, "")</f>
      </c>
      <c r="AE93" s="3">
        <f>IF(AND(S93&lt;(S$101+2*S$102), S93&gt;(S$101-2*S$102)), S93, "")</f>
      </c>
    </row>
    <row x14ac:dyDescent="0.25" r="94" customHeight="1" ht="18.75">
      <c r="A94" s="9">
        <v>90</v>
      </c>
      <c r="B94" s="2" t="s">
        <v>107</v>
      </c>
      <c r="C94" s="9">
        <v>1991</v>
      </c>
      <c r="D94" s="2" t="s">
        <v>18</v>
      </c>
      <c r="E94" s="2" t="s">
        <v>18</v>
      </c>
      <c r="F94" s="9">
        <v>50</v>
      </c>
      <c r="G94" s="9">
        <f>IF($E94=$D94, 1, 0)</f>
      </c>
      <c r="H94" s="3">
        <f>IF(AND($F94=0, $G94=1, $E94="[b]"), $C94,"")</f>
      </c>
      <c r="I94" s="9">
        <f>IF(AND($F94=50, $G94=1, $E94="[b]"), $C94,"")</f>
      </c>
      <c r="J94" s="3">
        <f>IF(AND($F94=100, $G94=1, $E94="[b]"), $C94,"")</f>
      </c>
      <c r="K94" s="3">
        <f>IF(AND($F94=150, $G94=1, $E94="[b]"), $C94,"")</f>
      </c>
      <c r="L94" s="3">
        <f>IF(AND($F94=0, $G94=1, $E94="[n]"), $C94,"")</f>
      </c>
      <c r="M94" s="3">
        <f>IF(AND($F94=50, $G94=1, $E94="[n]"), $C94,"")</f>
      </c>
      <c r="N94" s="3">
        <f>IF(AND($F94=100, $G94=1, $E94="[n]"), $C94,"")</f>
      </c>
      <c r="O94" s="3">
        <f>IF(AND($F94=150, $G94=1, $E94="[n]"), $C94,"")</f>
      </c>
      <c r="P94" s="3">
        <f>IF(AND($F94=0, $G94=1), $C94,"")</f>
      </c>
      <c r="Q94" s="9">
        <f>IF(AND($F94=50, $G94=1), $C94,"")</f>
      </c>
      <c r="R94" s="3">
        <f>IF(AND($F94=100, $G94=1), $C94,"")</f>
      </c>
      <c r="S94" s="3">
        <f>IF(AND($F94=150, $G94=1), $C94,"")</f>
      </c>
      <c r="T94" s="3">
        <f>IF(AND(H94&lt;(H$101+2*H$102), H94&gt;(H$101-2*H$102)), H94, "")</f>
      </c>
      <c r="U94" s="9">
        <f>IF(AND(I94&lt;(I$101+2*I$102), I94&gt;(I$101-2*I$102)), I94, "")</f>
      </c>
      <c r="V94" s="3">
        <f>IF(AND(J94&lt;(J$101+2*J$102), J94&gt;(J$101-2*J$102)), J94, "")</f>
      </c>
      <c r="W94" s="3">
        <f>IF(AND(K94&lt;(K$101+2*K$102), K94&gt;(K$101-2*K$102)), K94, "")</f>
      </c>
      <c r="X94" s="3">
        <f>IF(AND(L94&lt;(L$101+2*L$102), L94&gt;(L$101-2*L$102)), L94, "")</f>
      </c>
      <c r="Y94" s="3">
        <f>IF(AND(M94&lt;(M$101+2*M$102), M94&gt;(M$101-2*M$102)), M94, "")</f>
      </c>
      <c r="Z94" s="3">
        <f>IF(AND(N94&lt;(N$101+2*N$102), N94&gt;(N$101-2*N$102)), N94, "")</f>
      </c>
      <c r="AA94" s="3">
        <f>IF(AND(O94&lt;(O$101+2*O$102), O94&gt;(O$101-2*O$102)), O94, "")</f>
      </c>
      <c r="AB94" s="3">
        <f>IF(AND(P94&lt;(P$101+2*P$102), P94&gt;(P$101-2*P$102)), P94, "")</f>
      </c>
      <c r="AC94" s="9">
        <f>IF(AND(Q94&lt;(Q$101+2*Q$102), Q94&gt;(Q$101-2*Q$102)), Q94, "")</f>
      </c>
      <c r="AD94" s="3">
        <f>IF(AND(R94&lt;(R$101+2*R$102), R94&gt;(R$101-2*R$102)), R94, "")</f>
      </c>
      <c r="AE94" s="3">
        <f>IF(AND(S94&lt;(S$101+2*S$102), S94&gt;(S$101-2*S$102)), S94, "")</f>
      </c>
    </row>
    <row x14ac:dyDescent="0.25" r="95" customHeight="1" ht="18.75">
      <c r="A95" s="9">
        <v>91</v>
      </c>
      <c r="B95" s="2" t="s">
        <v>108</v>
      </c>
      <c r="C95" s="9">
        <v>1246</v>
      </c>
      <c r="D95" s="2" t="s">
        <v>18</v>
      </c>
      <c r="E95" s="2" t="s">
        <v>18</v>
      </c>
      <c r="F95" s="9">
        <v>0</v>
      </c>
      <c r="G95" s="9">
        <f>IF($E95=$D95, 1, 0)</f>
      </c>
      <c r="H95" s="9">
        <f>IF(AND($F95=0, $G95=1, $E95="[b]"), $C95,"")</f>
      </c>
      <c r="I95" s="3">
        <f>IF(AND($F95=50, $G95=1, $E95="[b]"), $C95,"")</f>
      </c>
      <c r="J95" s="3">
        <f>IF(AND($F95=100, $G95=1, $E95="[b]"), $C95,"")</f>
      </c>
      <c r="K95" s="3">
        <f>IF(AND($F95=150, $G95=1, $E95="[b]"), $C95,"")</f>
      </c>
      <c r="L95" s="3">
        <f>IF(AND($F95=0, $G95=1, $E95="[n]"), $C95,"")</f>
      </c>
      <c r="M95" s="3">
        <f>IF(AND($F95=50, $G95=1, $E95="[n]"), $C95,"")</f>
      </c>
      <c r="N95" s="3">
        <f>IF(AND($F95=100, $G95=1, $E95="[n]"), $C95,"")</f>
      </c>
      <c r="O95" s="3">
        <f>IF(AND($F95=150, $G95=1, $E95="[n]"), $C95,"")</f>
      </c>
      <c r="P95" s="9">
        <f>IF(AND($F95=0, $G95=1), $C95,"")</f>
      </c>
      <c r="Q95" s="3">
        <f>IF(AND($F95=50, $G95=1), $C95,"")</f>
      </c>
      <c r="R95" s="3">
        <f>IF(AND($F95=100, $G95=1), $C95,"")</f>
      </c>
      <c r="S95" s="3">
        <f>IF(AND($F95=150, $G95=1), $C95,"")</f>
      </c>
      <c r="T95" s="9">
        <f>IF(AND(H95&lt;(H$101+2*H$102), H95&gt;(H$101-2*H$102)), H95, "")</f>
      </c>
      <c r="U95" s="3">
        <f>IF(AND(I95&lt;(I$101+2*I$102), I95&gt;(I$101-2*I$102)), I95, "")</f>
      </c>
      <c r="V95" s="3">
        <f>IF(AND(J95&lt;(J$101+2*J$102), J95&gt;(J$101-2*J$102)), J95, "")</f>
      </c>
      <c r="W95" s="3">
        <f>IF(AND(K95&lt;(K$101+2*K$102), K95&gt;(K$101-2*K$102)), K95, "")</f>
      </c>
      <c r="X95" s="3">
        <f>IF(AND(L95&lt;(L$101+2*L$102), L95&gt;(L$101-2*L$102)), L95, "")</f>
      </c>
      <c r="Y95" s="3">
        <f>IF(AND(M95&lt;(M$101+2*M$102), M95&gt;(M$101-2*M$102)), M95, "")</f>
      </c>
      <c r="Z95" s="3">
        <f>IF(AND(N95&lt;(N$101+2*N$102), N95&gt;(N$101-2*N$102)), N95, "")</f>
      </c>
      <c r="AA95" s="3">
        <f>IF(AND(O95&lt;(O$101+2*O$102), O95&gt;(O$101-2*O$102)), O95, "")</f>
      </c>
      <c r="AB95" s="9">
        <f>IF(AND(P95&lt;(P$101+2*P$102), P95&gt;(P$101-2*P$102)), P95, "")</f>
      </c>
      <c r="AC95" s="3">
        <f>IF(AND(Q95&lt;(Q$101+2*Q$102), Q95&gt;(Q$101-2*Q$102)), Q95, "")</f>
      </c>
      <c r="AD95" s="3">
        <f>IF(AND(R95&lt;(R$101+2*R$102), R95&gt;(R$101-2*R$102)), R95, "")</f>
      </c>
      <c r="AE95" s="3">
        <f>IF(AND(S95&lt;(S$101+2*S$102), S95&gt;(S$101-2*S$102)), S95, "")</f>
      </c>
    </row>
    <row x14ac:dyDescent="0.25" r="96" customHeight="1" ht="18.75">
      <c r="A96" s="9">
        <v>92</v>
      </c>
      <c r="B96" s="2" t="s">
        <v>109</v>
      </c>
      <c r="C96" s="9">
        <v>3399</v>
      </c>
      <c r="D96" s="2" t="s">
        <v>18</v>
      </c>
      <c r="E96" s="2" t="s">
        <v>18</v>
      </c>
      <c r="F96" s="9">
        <v>150</v>
      </c>
      <c r="G96" s="9">
        <f>IF($E96=$D96, 1, 0)</f>
      </c>
      <c r="H96" s="3">
        <f>IF(AND($F96=0, $G96=1, $E96="[b]"), $C96,"")</f>
      </c>
      <c r="I96" s="3">
        <f>IF(AND($F96=50, $G96=1, $E96="[b]"), $C96,"")</f>
      </c>
      <c r="J96" s="3">
        <f>IF(AND($F96=100, $G96=1, $E96="[b]"), $C96,"")</f>
      </c>
      <c r="K96" s="9">
        <f>IF(AND($F96=150, $G96=1, $E96="[b]"), $C96,"")</f>
      </c>
      <c r="L96" s="3">
        <f>IF(AND($F96=0, $G96=1, $E96="[n]"), $C96,"")</f>
      </c>
      <c r="M96" s="3">
        <f>IF(AND($F96=50, $G96=1, $E96="[n]"), $C96,"")</f>
      </c>
      <c r="N96" s="3">
        <f>IF(AND($F96=100, $G96=1, $E96="[n]"), $C96,"")</f>
      </c>
      <c r="O96" s="3">
        <f>IF(AND($F96=150, $G96=1, $E96="[n]"), $C96,"")</f>
      </c>
      <c r="P96" s="3">
        <f>IF(AND($F96=0, $G96=1), $C96,"")</f>
      </c>
      <c r="Q96" s="3">
        <f>IF(AND($F96=50, $G96=1), $C96,"")</f>
      </c>
      <c r="R96" s="3">
        <f>IF(AND($F96=100, $G96=1), $C96,"")</f>
      </c>
      <c r="S96" s="9">
        <f>IF(AND($F96=150, $G96=1), $C96,"")</f>
      </c>
      <c r="T96" s="3">
        <f>IF(AND(H96&lt;(H$101+2*H$102), H96&gt;(H$101-2*H$102)), H96, "")</f>
      </c>
      <c r="U96" s="3">
        <f>IF(AND(I96&lt;(I$101+2*I$102), I96&gt;(I$101-2*I$102)), I96, "")</f>
      </c>
      <c r="V96" s="3">
        <f>IF(AND(J96&lt;(J$101+2*J$102), J96&gt;(J$101-2*J$102)), J96, "")</f>
      </c>
      <c r="W96" s="9">
        <f>IF(AND(K96&lt;(K$101+2*K$102), K96&gt;(K$101-2*K$102)), K96, "")</f>
      </c>
      <c r="X96" s="3">
        <f>IF(AND(L96&lt;(L$101+2*L$102), L96&gt;(L$101-2*L$102)), L96, "")</f>
      </c>
      <c r="Y96" s="3">
        <f>IF(AND(M96&lt;(M$101+2*M$102), M96&gt;(M$101-2*M$102)), M96, "")</f>
      </c>
      <c r="Z96" s="3">
        <f>IF(AND(N96&lt;(N$101+2*N$102), N96&gt;(N$101-2*N$102)), N96, "")</f>
      </c>
      <c r="AA96" s="3">
        <f>IF(AND(O96&lt;(O$101+2*O$102), O96&gt;(O$101-2*O$102)), O96, "")</f>
      </c>
      <c r="AB96" s="3">
        <f>IF(AND(P96&lt;(P$101+2*P$102), P96&gt;(P$101-2*P$102)), P96, "")</f>
      </c>
      <c r="AC96" s="3">
        <f>IF(AND(Q96&lt;(Q$101+2*Q$102), Q96&gt;(Q$101-2*Q$102)), Q96, "")</f>
      </c>
      <c r="AD96" s="3">
        <f>IF(AND(R96&lt;(R$101+2*R$102), R96&gt;(R$101-2*R$102)), R96, "")</f>
      </c>
      <c r="AE96" s="9">
        <f>IF(AND(S96&lt;(S$101+2*S$102), S96&gt;(S$101-2*S$102)), S96, "")</f>
      </c>
    </row>
    <row x14ac:dyDescent="0.25" r="97" customHeight="1" ht="18.75">
      <c r="A97" s="9">
        <v>93</v>
      </c>
      <c r="B97" s="2" t="s">
        <v>110</v>
      </c>
      <c r="C97" s="9">
        <v>5599</v>
      </c>
      <c r="D97" s="2" t="s">
        <v>15</v>
      </c>
      <c r="E97" s="2" t="s">
        <v>15</v>
      </c>
      <c r="F97" s="9">
        <v>150</v>
      </c>
      <c r="G97" s="9">
        <f>IF($E97=$D97, 1, 0)</f>
      </c>
      <c r="H97" s="3">
        <f>IF(AND($F97=0, $G97=1, $E97="[b]"), $C97,"")</f>
      </c>
      <c r="I97" s="3">
        <f>IF(AND($F97=50, $G97=1, $E97="[b]"), $C97,"")</f>
      </c>
      <c r="J97" s="3">
        <f>IF(AND($F97=100, $G97=1, $E97="[b]"), $C97,"")</f>
      </c>
      <c r="K97" s="3">
        <f>IF(AND($F97=150, $G97=1, $E97="[b]"), $C97,"")</f>
      </c>
      <c r="L97" s="3">
        <f>IF(AND($F97=0, $G97=1, $E97="[n]"), $C97,"")</f>
      </c>
      <c r="M97" s="3">
        <f>IF(AND($F97=50, $G97=1, $E97="[n]"), $C97,"")</f>
      </c>
      <c r="N97" s="3">
        <f>IF(AND($F97=100, $G97=1, $E97="[n]"), $C97,"")</f>
      </c>
      <c r="O97" s="9">
        <f>IF(AND($F97=150, $G97=1, $E97="[n]"), $C97,"")</f>
      </c>
      <c r="P97" s="3">
        <f>IF(AND($F97=0, $G97=1), $C97,"")</f>
      </c>
      <c r="Q97" s="3">
        <f>IF(AND($F97=50, $G97=1), $C97,"")</f>
      </c>
      <c r="R97" s="3">
        <f>IF(AND($F97=100, $G97=1), $C97,"")</f>
      </c>
      <c r="S97" s="9">
        <f>IF(AND($F97=150, $G97=1), $C97,"")</f>
      </c>
      <c r="T97" s="3">
        <f>IF(AND(H97&lt;(H$101+2*H$102), H97&gt;(H$101-2*H$102)), H97, "")</f>
      </c>
      <c r="U97" s="3">
        <f>IF(AND(I97&lt;(I$101+2*I$102), I97&gt;(I$101-2*I$102)), I97, "")</f>
      </c>
      <c r="V97" s="3">
        <f>IF(AND(J97&lt;(J$101+2*J$102), J97&gt;(J$101-2*J$102)), J97, "")</f>
      </c>
      <c r="W97" s="3">
        <f>IF(AND(K97&lt;(K$101+2*K$102), K97&gt;(K$101-2*K$102)), K97, "")</f>
      </c>
      <c r="X97" s="3">
        <f>IF(AND(L97&lt;(L$101+2*L$102), L97&gt;(L$101-2*L$102)), L97, "")</f>
      </c>
      <c r="Y97" s="3">
        <f>IF(AND(M97&lt;(M$101+2*M$102), M97&gt;(M$101-2*M$102)), M97, "")</f>
      </c>
      <c r="Z97" s="3">
        <f>IF(AND(N97&lt;(N$101+2*N$102), N97&gt;(N$101-2*N$102)), N97, "")</f>
      </c>
      <c r="AA97" s="9">
        <f>IF(AND(O97&lt;(O$101+2*O$102), O97&gt;(O$101-2*O$102)), O97, "")</f>
      </c>
      <c r="AB97" s="3">
        <f>IF(AND(P97&lt;(P$101+2*P$102), P97&gt;(P$101-2*P$102)), P97, "")</f>
      </c>
      <c r="AC97" s="3">
        <f>IF(AND(Q97&lt;(Q$101+2*Q$102), Q97&gt;(Q$101-2*Q$102)), Q97, "")</f>
      </c>
      <c r="AD97" s="3">
        <f>IF(AND(R97&lt;(R$101+2*R$102), R97&gt;(R$101-2*R$102)), R97, "")</f>
      </c>
      <c r="AE97" s="9">
        <f>IF(AND(S97&lt;(S$101+2*S$102), S97&gt;(S$101-2*S$102)), S97, "")</f>
      </c>
    </row>
    <row x14ac:dyDescent="0.25" r="98" customHeight="1" ht="18.75">
      <c r="A98" s="9">
        <v>94</v>
      </c>
      <c r="B98" s="2" t="s">
        <v>111</v>
      </c>
      <c r="C98" s="9">
        <v>3623</v>
      </c>
      <c r="D98" s="2" t="s">
        <v>15</v>
      </c>
      <c r="E98" s="2" t="s">
        <v>15</v>
      </c>
      <c r="F98" s="9">
        <v>50</v>
      </c>
      <c r="G98" s="9">
        <f>IF($E98=$D98, 1, 0)</f>
      </c>
      <c r="H98" s="3">
        <f>IF(AND($F98=0, $G98=1, $E98="[b]"), $C98,"")</f>
      </c>
      <c r="I98" s="3">
        <f>IF(AND($F98=50, $G98=1, $E98="[b]"), $C98,"")</f>
      </c>
      <c r="J98" s="3">
        <f>IF(AND($F98=100, $G98=1, $E98="[b]"), $C98,"")</f>
      </c>
      <c r="K98" s="3">
        <f>IF(AND($F98=150, $G98=1, $E98="[b]"), $C98,"")</f>
      </c>
      <c r="L98" s="3">
        <f>IF(AND($F98=0, $G98=1, $E98="[n]"), $C98,"")</f>
      </c>
      <c r="M98" s="9">
        <f>IF(AND($F98=50, $G98=1, $E98="[n]"), $C98,"")</f>
      </c>
      <c r="N98" s="3">
        <f>IF(AND($F98=100, $G98=1, $E98="[n]"), $C98,"")</f>
      </c>
      <c r="O98" s="3">
        <f>IF(AND($F98=150, $G98=1, $E98="[n]"), $C98,"")</f>
      </c>
      <c r="P98" s="3">
        <f>IF(AND($F98=0, $G98=1), $C98,"")</f>
      </c>
      <c r="Q98" s="9">
        <f>IF(AND($F98=50, $G98=1), $C98,"")</f>
      </c>
      <c r="R98" s="3">
        <f>IF(AND($F98=100, $G98=1), $C98,"")</f>
      </c>
      <c r="S98" s="3">
        <f>IF(AND($F98=150, $G98=1), $C98,"")</f>
      </c>
      <c r="T98" s="3">
        <f>IF(AND(H98&lt;(H$101+2*H$102), H98&gt;(H$101-2*H$102)), H98, "")</f>
      </c>
      <c r="U98" s="3">
        <f>IF(AND(I98&lt;(I$101+2*I$102), I98&gt;(I$101-2*I$102)), I98, "")</f>
      </c>
      <c r="V98" s="3">
        <f>IF(AND(J98&lt;(J$101+2*J$102), J98&gt;(J$101-2*J$102)), J98, "")</f>
      </c>
      <c r="W98" s="3">
        <f>IF(AND(K98&lt;(K$101+2*K$102), K98&gt;(K$101-2*K$102)), K98, "")</f>
      </c>
      <c r="X98" s="3">
        <f>IF(AND(L98&lt;(L$101+2*L$102), L98&gt;(L$101-2*L$102)), L98, "")</f>
      </c>
      <c r="Y98" s="9">
        <f>IF(AND(M98&lt;(M$101+2*M$102), M98&gt;(M$101-2*M$102)), M98, "")</f>
      </c>
      <c r="Z98" s="3">
        <f>IF(AND(N98&lt;(N$101+2*N$102), N98&gt;(N$101-2*N$102)), N98, "")</f>
      </c>
      <c r="AA98" s="3">
        <f>IF(AND(O98&lt;(O$101+2*O$102), O98&gt;(O$101-2*O$102)), O98, "")</f>
      </c>
      <c r="AB98" s="3">
        <f>IF(AND(P98&lt;(P$101+2*P$102), P98&gt;(P$101-2*P$102)), P98, "")</f>
      </c>
      <c r="AC98" s="9">
        <f>IF(AND(Q98&lt;(Q$101+2*Q$102), Q98&gt;(Q$101-2*Q$102)), Q98, "")</f>
      </c>
      <c r="AD98" s="3">
        <f>IF(AND(R98&lt;(R$101+2*R$102), R98&gt;(R$101-2*R$102)), R98, "")</f>
      </c>
      <c r="AE98" s="3">
        <f>IF(AND(S98&lt;(S$101+2*S$102), S98&gt;(S$101-2*S$102)), S98, "")</f>
      </c>
    </row>
    <row x14ac:dyDescent="0.25" r="99" customHeight="1" ht="18.75">
      <c r="A99" s="9">
        <v>95</v>
      </c>
      <c r="B99" s="2" t="s">
        <v>112</v>
      </c>
      <c r="C99" s="9">
        <v>1960</v>
      </c>
      <c r="D99" s="2" t="s">
        <v>18</v>
      </c>
      <c r="E99" s="2" t="s">
        <v>18</v>
      </c>
      <c r="F99" s="9">
        <v>100</v>
      </c>
      <c r="G99" s="9">
        <f>IF($E99=$D99, 1, 0)</f>
      </c>
      <c r="H99" s="3">
        <f>IF(AND($F99=0, $G99=1, $E99="[b]"), $C99,"")</f>
      </c>
      <c r="I99" s="3">
        <f>IF(AND($F99=50, $G99=1, $E99="[b]"), $C99,"")</f>
      </c>
      <c r="J99" s="9">
        <f>IF(AND($F99=100, $G99=1, $E99="[b]"), $C99,"")</f>
      </c>
      <c r="K99" s="3">
        <f>IF(AND($F99=150, $G99=1, $E99="[b]"), $C99,"")</f>
      </c>
      <c r="L99" s="3">
        <f>IF(AND($F99=0, $G99=1, $E99="[n]"), $C99,"")</f>
      </c>
      <c r="M99" s="3">
        <f>IF(AND($F99=50, $G99=1, $E99="[n]"), $C99,"")</f>
      </c>
      <c r="N99" s="3">
        <f>IF(AND($F99=100, $G99=1, $E99="[n]"), $C99,"")</f>
      </c>
      <c r="O99" s="3">
        <f>IF(AND($F99=150, $G99=1, $E99="[n]"), $C99,"")</f>
      </c>
      <c r="P99" s="3">
        <f>IF(AND($F99=0, $G99=1), $C99,"")</f>
      </c>
      <c r="Q99" s="3">
        <f>IF(AND($F99=50, $G99=1), $C99,"")</f>
      </c>
      <c r="R99" s="9">
        <f>IF(AND($F99=100, $G99=1), $C99,"")</f>
      </c>
      <c r="S99" s="3">
        <f>IF(AND($F99=150, $G99=1), $C99,"")</f>
      </c>
      <c r="T99" s="3">
        <f>IF(AND(H99&lt;(H$101+2*H$102), H99&gt;(H$101-2*H$102)), H99, "")</f>
      </c>
      <c r="U99" s="3">
        <f>IF(AND(I99&lt;(I$101+2*I$102), I99&gt;(I$101-2*I$102)), I99, "")</f>
      </c>
      <c r="V99" s="9">
        <f>IF(AND(J99&lt;(J$101+2*J$102), J99&gt;(J$101-2*J$102)), J99, "")</f>
      </c>
      <c r="W99" s="3">
        <f>IF(AND(K99&lt;(K$101+2*K$102), K99&gt;(K$101-2*K$102)), K99, "")</f>
      </c>
      <c r="X99" s="3">
        <f>IF(AND(L99&lt;(L$101+2*L$102), L99&gt;(L$101-2*L$102)), L99, "")</f>
      </c>
      <c r="Y99" s="3">
        <f>IF(AND(M99&lt;(M$101+2*M$102), M99&gt;(M$101-2*M$102)), M99, "")</f>
      </c>
      <c r="Z99" s="3">
        <f>IF(AND(N99&lt;(N$101+2*N$102), N99&gt;(N$101-2*N$102)), N99, "")</f>
      </c>
      <c r="AA99" s="3">
        <f>IF(AND(O99&lt;(O$101+2*O$102), O99&gt;(O$101-2*O$102)), O99, "")</f>
      </c>
      <c r="AB99" s="3">
        <f>IF(AND(P99&lt;(P$101+2*P$102), P99&gt;(P$101-2*P$102)), P99, "")</f>
      </c>
      <c r="AC99" s="3">
        <f>IF(AND(Q99&lt;(Q$101+2*Q$102), Q99&gt;(Q$101-2*Q$102)), Q99, "")</f>
      </c>
      <c r="AD99" s="9">
        <f>IF(AND(R99&lt;(R$101+2*R$102), R99&gt;(R$101-2*R$102)), R99, "")</f>
      </c>
      <c r="AE99" s="3">
        <f>IF(AND(S99&lt;(S$101+2*S$102), S99&gt;(S$101-2*S$102)), S99, "")</f>
      </c>
    </row>
    <row x14ac:dyDescent="0.25" r="100" customHeight="1" ht="18.75">
      <c r="A100" s="9">
        <v>96</v>
      </c>
      <c r="B100" s="2" t="s">
        <v>113</v>
      </c>
      <c r="C100" s="9">
        <v>3736</v>
      </c>
      <c r="D100" s="2" t="s">
        <v>15</v>
      </c>
      <c r="E100" s="2" t="s">
        <v>15</v>
      </c>
      <c r="F100" s="9">
        <v>0</v>
      </c>
      <c r="G100" s="9">
        <f>IF($E100=$D100, 1, 0)</f>
      </c>
      <c r="H100" s="3">
        <f>IF(AND($F100=0, $G100=1, $E100="[b]"), $C100,"")</f>
      </c>
      <c r="I100" s="3">
        <f>IF(AND($F100=50, $G100=1, $E100="[b]"), $C100,"")</f>
      </c>
      <c r="J100" s="3">
        <f>IF(AND($F100=100, $G100=1, $E100="[b]"), $C100,"")</f>
      </c>
      <c r="K100" s="3">
        <f>IF(AND($F100=150, $G100=1, $E100="[b]"), $C100,"")</f>
      </c>
      <c r="L100" s="9">
        <f>IF(AND($F100=0, $G100=1, $E100="[n]"), $C100,"")</f>
      </c>
      <c r="M100" s="3">
        <f>IF(AND($F100=50, $G100=1, $E100="[n]"), $C100,"")</f>
      </c>
      <c r="N100" s="3">
        <f>IF(AND($F100=100, $G100=1, $E100="[n]"), $C100,"")</f>
      </c>
      <c r="O100" s="3">
        <f>IF(AND($F100=150, $G100=1, $E100="[n]"), $C100,"")</f>
      </c>
      <c r="P100" s="9">
        <f>IF(AND($F100=0, $G100=1), $C100,"")</f>
      </c>
      <c r="Q100" s="3">
        <f>IF(AND($F100=50, $G100=1), $C100,"")</f>
      </c>
      <c r="R100" s="3">
        <f>IF(AND($F100=100, $G100=1), $C100,"")</f>
      </c>
      <c r="S100" s="3">
        <f>IF(AND($F100=150, $G100=1), $C100,"")</f>
      </c>
      <c r="T100" s="3">
        <f>IF(AND(H100&lt;(H$101+2*H$102), H100&gt;(H$101-2*H$102)), H100, "")</f>
      </c>
      <c r="U100" s="3">
        <f>IF(AND(I100&lt;(I$101+2*I$102), I100&gt;(I$101-2*I$102)), I100, "")</f>
      </c>
      <c r="V100" s="3">
        <f>IF(AND(J100&lt;(J$101+2*J$102), J100&gt;(J$101-2*J$102)), J100, "")</f>
      </c>
      <c r="W100" s="3">
        <f>IF(AND(K100&lt;(K$101+2*K$102), K100&gt;(K$101-2*K$102)), K100, "")</f>
      </c>
      <c r="X100" s="9">
        <f>IF(AND(L100&lt;(L$101+2*L$102), L100&gt;(L$101-2*L$102)), L100, "")</f>
      </c>
      <c r="Y100" s="3">
        <f>IF(AND(M100&lt;(M$101+2*M$102), M100&gt;(M$101-2*M$102)), M100, "")</f>
      </c>
      <c r="Z100" s="3">
        <f>IF(AND(N100&lt;(N$101+2*N$102), N100&gt;(N$101-2*N$102)), N100, "")</f>
      </c>
      <c r="AA100" s="3">
        <f>IF(AND(O100&lt;(O$101+2*O$102), O100&gt;(O$101-2*O$102)), O100, "")</f>
      </c>
      <c r="AB100" s="9">
        <f>IF(AND(P100&lt;(P$101+2*P$102), P100&gt;(P$101-2*P$102)), P100, "")</f>
      </c>
      <c r="AC100" s="3">
        <f>IF(AND(Q100&lt;(Q$101+2*Q$102), Q100&gt;(Q$101-2*Q$102)), Q100, "")</f>
      </c>
      <c r="AD100" s="3">
        <f>IF(AND(R100&lt;(R$101+2*R$102), R100&gt;(R$101-2*R$102)), R100, "")</f>
      </c>
      <c r="AE100" s="3">
        <f>IF(AND(S100&lt;(S$101+2*S$102), S100&gt;(S$101-2*S$102)), S100, "")</f>
      </c>
    </row>
    <row x14ac:dyDescent="0.25" r="101" customHeight="1" ht="18.75">
      <c r="A101" s="3"/>
      <c r="B101" s="2"/>
      <c r="C101" s="3"/>
      <c r="D101" s="2"/>
      <c r="E101" s="2"/>
      <c r="F101" s="3"/>
      <c r="G101" s="1" t="s">
        <v>114</v>
      </c>
      <c r="H101" s="10">
        <f>AVERAGE(H5:H100)</f>
      </c>
      <c r="I101" s="10">
        <f>AVERAGE(I5:I100)</f>
      </c>
      <c r="J101" s="10">
        <f>AVERAGE(J5:J100)</f>
      </c>
      <c r="K101" s="10">
        <f>AVERAGE(K5:K100)</f>
      </c>
      <c r="L101" s="10">
        <f>AVERAGE(L5:L100)</f>
      </c>
      <c r="M101" s="9">
        <f>AVERAGE(M5:M100)</f>
      </c>
      <c r="N101" s="10">
        <f>AVERAGE(N5:N100)</f>
      </c>
      <c r="O101" s="10">
        <f>AVERAGE(O5:O100)</f>
      </c>
      <c r="P101" s="10">
        <f>AVERAGE(P5:P100)</f>
      </c>
      <c r="Q101" s="10">
        <f>AVERAGE(Q5:Q100)</f>
      </c>
      <c r="R101" s="10">
        <f>AVERAGE(R5:R100)</f>
      </c>
      <c r="S101" s="10">
        <f>AVERAGE(S5:S100)</f>
      </c>
      <c r="T101" s="10">
        <f>AVERAGE(T5:T100)</f>
      </c>
      <c r="U101" s="10">
        <f>AVERAGE(U5:U100)</f>
      </c>
      <c r="V101" s="10">
        <f>AVERAGE(V5:V100)</f>
      </c>
      <c r="W101" s="10">
        <f>AVERAGE(W5:W100)</f>
      </c>
      <c r="X101" s="10">
        <f>AVERAGE(X5:X100)</f>
      </c>
      <c r="Y101" s="9">
        <f>AVERAGE(Y5:Y100)</f>
      </c>
      <c r="Z101" s="10">
        <f>AVERAGE(Z5:Z100)</f>
      </c>
      <c r="AA101" s="10">
        <f>AVERAGE(AA5:AA100)</f>
      </c>
      <c r="AB101" s="10">
        <f>AVERAGE(AB5:AB100)</f>
      </c>
      <c r="AC101" s="10">
        <f>AVERAGE(AC5:AC100)</f>
      </c>
      <c r="AD101" s="10">
        <f>AVERAGE(AD5:AD100)</f>
      </c>
      <c r="AE101" s="10">
        <f>AVERAGE(AE5:AE100)</f>
      </c>
    </row>
    <row x14ac:dyDescent="0.25" r="102" customHeight="1" ht="18.75">
      <c r="A102" s="3"/>
      <c r="B102" s="2"/>
      <c r="C102" s="3"/>
      <c r="D102" s="2"/>
      <c r="E102" s="2"/>
      <c r="F102" s="3"/>
      <c r="G102" s="1" t="s">
        <v>115</v>
      </c>
      <c r="H102" s="10">
        <f>STDEV(H5:H100)</f>
      </c>
      <c r="I102" s="10">
        <f>STDEV(I5:I100)</f>
      </c>
      <c r="J102" s="10">
        <f>STDEV(J5:J100)</f>
      </c>
      <c r="K102" s="10">
        <f>STDEV(K5:K100)</f>
      </c>
      <c r="L102" s="10">
        <f>STDEV(L5:L100)</f>
      </c>
      <c r="M102" s="10">
        <f>STDEV(M5:M100)</f>
      </c>
      <c r="N102" s="10">
        <f>STDEV(N5:N100)</f>
      </c>
      <c r="O102" s="10">
        <f>STDEV(O5:O100)</f>
      </c>
      <c r="P102" s="10">
        <f>STDEV(P5:P100)</f>
      </c>
      <c r="Q102" s="10">
        <f>STDEV(Q5:Q100)</f>
      </c>
      <c r="R102" s="10">
        <f>STDEV(R5:R100)</f>
      </c>
      <c r="S102" s="10">
        <f>STDEV(S5:S100)</f>
      </c>
      <c r="T102" s="10">
        <f>STDEV(T5:T100)</f>
      </c>
      <c r="U102" s="10">
        <f>STDEV(U5:U100)</f>
      </c>
      <c r="V102" s="10">
        <f>STDEV(V5:V100)</f>
      </c>
      <c r="W102" s="10">
        <f>STDEV(W5:W100)</f>
      </c>
      <c r="X102" s="10">
        <f>STDEV(X5:X100)</f>
      </c>
      <c r="Y102" s="10">
        <f>STDEV(Y5:Y100)</f>
      </c>
      <c r="Z102" s="10">
        <f>STDEV(Z5:Z100)</f>
      </c>
      <c r="AA102" s="10">
        <f>STDEV(AA5:AA100)</f>
      </c>
      <c r="AB102" s="10">
        <f>STDEV(AB5:AB100)</f>
      </c>
      <c r="AC102" s="10">
        <f>STDEV(AC5:AC100)</f>
      </c>
      <c r="AD102" s="10">
        <f>STDEV(AD5:AD100)</f>
      </c>
      <c r="AE102" s="10">
        <f>STDEV(AE5:AE100)</f>
      </c>
    </row>
    <row x14ac:dyDescent="0.25" r="103" customHeight="1" ht="18.75">
      <c r="A103" s="3"/>
      <c r="B103" s="2"/>
      <c r="C103" s="3"/>
      <c r="D103" s="2"/>
      <c r="E103" s="2"/>
      <c r="F103" s="3"/>
      <c r="G103" s="3"/>
      <c r="H103" s="7">
        <v>0</v>
      </c>
      <c r="I103" s="7">
        <v>50</v>
      </c>
      <c r="J103" s="7">
        <v>100</v>
      </c>
      <c r="K103" s="7">
        <v>150</v>
      </c>
      <c r="L103" s="7">
        <v>0</v>
      </c>
      <c r="M103" s="7">
        <v>50</v>
      </c>
      <c r="N103" s="7">
        <v>100</v>
      </c>
      <c r="O103" s="7">
        <v>150</v>
      </c>
      <c r="P103" s="7">
        <v>0</v>
      </c>
      <c r="Q103" s="7">
        <v>50</v>
      </c>
      <c r="R103" s="7">
        <v>100</v>
      </c>
      <c r="S103" s="7">
        <v>150</v>
      </c>
      <c r="T103" s="7">
        <v>0</v>
      </c>
      <c r="U103" s="7">
        <v>50</v>
      </c>
      <c r="V103" s="7">
        <v>100</v>
      </c>
      <c r="W103" s="7">
        <v>150</v>
      </c>
      <c r="X103" s="7">
        <v>0</v>
      </c>
      <c r="Y103" s="7">
        <v>50</v>
      </c>
      <c r="Z103" s="7">
        <v>100</v>
      </c>
      <c r="AA103" s="7">
        <v>150</v>
      </c>
      <c r="AB103" s="7">
        <v>0</v>
      </c>
      <c r="AC103" s="7">
        <v>50</v>
      </c>
      <c r="AD103" s="7">
        <v>100</v>
      </c>
      <c r="AE103" s="7">
        <v>150</v>
      </c>
    </row>
    <row x14ac:dyDescent="0.25" r="104" customHeight="1" ht="18.75">
      <c r="A104" s="3"/>
      <c r="B104" s="2"/>
      <c r="C104" s="3"/>
      <c r="D104" s="2"/>
      <c r="E104" s="2"/>
      <c r="F104" s="3"/>
      <c r="G104" s="3"/>
      <c r="H104" s="7" t="s">
        <v>4</v>
      </c>
      <c r="I104" s="7"/>
      <c r="J104" s="7"/>
      <c r="K104" s="7"/>
      <c r="L104" s="7" t="s">
        <v>5</v>
      </c>
      <c r="M104" s="7"/>
      <c r="N104" s="7"/>
      <c r="O104" s="7"/>
      <c r="P104" s="7" t="s">
        <v>6</v>
      </c>
      <c r="Q104" s="7"/>
      <c r="R104" s="7"/>
      <c r="S104" s="7"/>
      <c r="T104" s="7" t="s">
        <v>4</v>
      </c>
      <c r="U104" s="7"/>
      <c r="V104" s="7"/>
      <c r="W104" s="7"/>
      <c r="X104" s="7" t="s">
        <v>5</v>
      </c>
      <c r="Y104" s="7"/>
      <c r="Z104" s="7"/>
      <c r="AA104" s="7"/>
      <c r="AB104" s="7" t="s">
        <v>6</v>
      </c>
      <c r="AC104" s="7"/>
      <c r="AD104" s="7"/>
      <c r="AE104" s="7"/>
    </row>
    <row x14ac:dyDescent="0.25" r="105" customHeight="1" ht="18.75">
      <c r="A105" s="3"/>
      <c r="B105" s="2"/>
      <c r="C105" s="3"/>
      <c r="D105" s="2"/>
      <c r="E105" s="2"/>
      <c r="F105" s="3"/>
      <c r="G105" s="3"/>
      <c r="H105" s="4" t="s">
        <v>2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6"/>
      <c r="T105" s="4" t="s">
        <v>3</v>
      </c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6"/>
    </row>
    <row x14ac:dyDescent="0.25" r="106" customHeight="1" ht="18.75">
      <c r="A106" s="3"/>
      <c r="B106" s="2"/>
      <c r="C106" s="3"/>
      <c r="D106" s="2"/>
      <c r="E106" s="2"/>
      <c r="F106" s="3"/>
      <c r="G106" s="1" t="s">
        <v>116</v>
      </c>
      <c r="H106" s="11">
        <f>COUNTIFS($G$5:$G$100,0,$E$5:$E$100,"[b]",$F$5:$F$100,0)</f>
      </c>
      <c r="I106" s="11">
        <f>COUNTIFS($G$5:$G$100,0,$E$5:$E$100,"[b]",$F$5:$F$100,50)</f>
      </c>
      <c r="J106" s="11">
        <f>COUNTIFS($G$5:$G$100,0,$E$5:$E$100,"[b]",$F$5:$F$100,100)</f>
      </c>
      <c r="K106" s="11">
        <f>COUNTIFS($G$5:$G$100,0,$E$5:$E$100,"[b]",$F$5:$F$100,150)</f>
      </c>
      <c r="L106" s="11">
        <f>COUNTIFS($G$5:$G$100,0,$E$5:$E$100,"[n]",$F$5:$F$100,0)</f>
      </c>
      <c r="M106" s="11">
        <f>COUNTIFS($G$5:$G$100,0,$E$5:$E$100,"[n]",$F$5:$F$100,50)</f>
      </c>
      <c r="N106" s="11">
        <f>COUNTIFS($G$5:$G$100,0,$E$5:$E$100,"[n]",$F$5:$F$100,100)</f>
      </c>
      <c r="O106" s="11">
        <f>COUNTIFS($G$5:$G$100,0,$E$5:$E$100,"[n]",$F$5:$F$100,150)</f>
      </c>
      <c r="P106" s="11">
        <f>COUNTIFS($G$5:$G$100,0,$F$5:$F$100,0)</f>
      </c>
      <c r="Q106" s="11">
        <f>COUNTIFS($G$5:$G$100,0,$F$5:$F$100,50)</f>
      </c>
      <c r="R106" s="11">
        <f>COUNTIFS($G$5:$G$100,0,$F$5:$F$100,100)</f>
      </c>
      <c r="S106" s="11">
        <f>COUNTIFS($G$5:$G$100,0,$F$5:$F$100,150)</f>
      </c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x14ac:dyDescent="0.25" r="107" customHeight="1" ht="18.75">
      <c r="A107" s="3"/>
      <c r="B107" s="2"/>
      <c r="C107" s="3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</sheetData>
  <mergeCells count="17">
    <mergeCell ref="H1:AE1"/>
    <mergeCell ref="H2:S2"/>
    <mergeCell ref="T2:AE2"/>
    <mergeCell ref="H3:K3"/>
    <mergeCell ref="L3:O3"/>
    <mergeCell ref="P3:S3"/>
    <mergeCell ref="T3:W3"/>
    <mergeCell ref="X3:AA3"/>
    <mergeCell ref="AB3:AE3"/>
    <mergeCell ref="H104:K104"/>
    <mergeCell ref="L104:O104"/>
    <mergeCell ref="P104:S104"/>
    <mergeCell ref="T104:W104"/>
    <mergeCell ref="X104:AA104"/>
    <mergeCell ref="AB104:AE104"/>
    <mergeCell ref="H105:S105"/>
    <mergeCell ref="T105:AE10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S&amp;amp;amp;M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2026-06-12T18:27:27.159Z</dcterms:created>
  <dcterms:modified xsi:type="dcterms:W3CDTF">2026-06-12T18:27:27.159Z</dcterms:modified>
</cp:coreProperties>
</file>